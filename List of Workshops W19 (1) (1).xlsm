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calhounc\Downloads\"/>
    </mc:Choice>
  </mc:AlternateContent>
  <bookViews>
    <workbookView xWindow="0" yWindow="0" windowWidth="28800" windowHeight="12435" firstSheet="5" activeTab="13"/>
  </bookViews>
  <sheets>
    <sheet name="Dashboard" sheetId="6" r:id="rId1"/>
    <sheet name="Comp 1" sheetId="7" r:id="rId2"/>
    <sheet name="Comp 2" sheetId="8" r:id="rId3"/>
    <sheet name="Comp 3" sheetId="9" r:id="rId4"/>
    <sheet name="Comp 4" sheetId="10" r:id="rId5"/>
    <sheet name="Comp 5" sheetId="11" r:id="rId6"/>
    <sheet name="Comp 6" sheetId="12" r:id="rId7"/>
    <sheet name="Comp 7" sheetId="13" r:id="rId8"/>
    <sheet name="Comp 8" sheetId="14" r:id="rId9"/>
    <sheet name="Overview" sheetId="4" r:id="rId10"/>
    <sheet name="Workshop Descriptions" sheetId="2" r:id="rId11"/>
    <sheet name="List by Week" sheetId="3" r:id="rId12"/>
    <sheet name="Workshops" sheetId="5" r:id="rId13"/>
    <sheet name="DLT" sheetId="16" r:id="rId14"/>
    <sheet name="Presentation Reports" sheetId="15" r:id="rId15"/>
  </sheets>
  <calcPr calcId="152511"/>
</workbook>
</file>

<file path=xl/calcChain.xml><?xml version="1.0" encoding="utf-8"?>
<calcChain xmlns="http://schemas.openxmlformats.org/spreadsheetml/2006/main">
  <c r="C10" i="16" l="1"/>
  <c r="C16" i="16" s="1"/>
  <c r="C22" i="16" s="1"/>
  <c r="C28" i="16" s="1"/>
  <c r="C34" i="16" s="1"/>
  <c r="F4" i="16" s="1"/>
  <c r="F10" i="16" s="1"/>
  <c r="F16" i="16" s="1"/>
  <c r="F22" i="16" s="1"/>
  <c r="F28" i="16" s="1"/>
  <c r="F34" i="16" s="1"/>
  <c r="I4" i="16" s="1"/>
  <c r="I10" i="16" s="1"/>
  <c r="D63" i="6" l="1"/>
  <c r="E63" i="6"/>
  <c r="F63" i="6"/>
  <c r="D64" i="6"/>
  <c r="E64" i="6"/>
  <c r="F64" i="6"/>
  <c r="D65" i="6"/>
  <c r="E65" i="6"/>
  <c r="F65" i="6"/>
  <c r="D66" i="6"/>
  <c r="E66" i="6"/>
  <c r="F66" i="6"/>
  <c r="D67" i="6"/>
  <c r="E67" i="6"/>
  <c r="F67" i="6"/>
  <c r="D68" i="6"/>
  <c r="E68" i="6"/>
  <c r="F68" i="6"/>
  <c r="D69" i="6"/>
  <c r="E69" i="6"/>
  <c r="F69" i="6"/>
  <c r="D70" i="6"/>
  <c r="E70" i="6"/>
  <c r="F70" i="6"/>
  <c r="D71" i="6"/>
  <c r="E71" i="6"/>
  <c r="F71" i="6"/>
  <c r="D53" i="6"/>
  <c r="E53" i="6"/>
  <c r="F53" i="6"/>
  <c r="D54" i="6"/>
  <c r="E54" i="6"/>
  <c r="F54" i="6"/>
  <c r="D55" i="6"/>
  <c r="E55" i="6"/>
  <c r="F55" i="6"/>
  <c r="D56" i="6"/>
  <c r="E56" i="6"/>
  <c r="F56" i="6"/>
  <c r="D57" i="6"/>
  <c r="E57" i="6"/>
  <c r="F57" i="6"/>
  <c r="D58" i="6"/>
  <c r="E58" i="6"/>
  <c r="F58" i="6"/>
  <c r="D59" i="6"/>
  <c r="E59" i="6"/>
  <c r="F59" i="6"/>
  <c r="D60" i="6"/>
  <c r="E60" i="6"/>
  <c r="F60" i="6"/>
  <c r="D61" i="6"/>
  <c r="E61" i="6"/>
  <c r="F61" i="6"/>
  <c r="C61" i="6"/>
  <c r="C60" i="6"/>
  <c r="C59" i="6"/>
  <c r="C58" i="6"/>
  <c r="C57" i="6"/>
  <c r="C56" i="6"/>
  <c r="C55" i="6"/>
  <c r="C54" i="6"/>
  <c r="C53" i="6"/>
  <c r="C44" i="6"/>
  <c r="D43" i="6"/>
  <c r="E43" i="6"/>
  <c r="F43" i="6"/>
  <c r="D44" i="6"/>
  <c r="E44" i="6"/>
  <c r="F44" i="6"/>
  <c r="D45" i="6"/>
  <c r="E45" i="6"/>
  <c r="F45" i="6"/>
  <c r="D46" i="6"/>
  <c r="E46" i="6"/>
  <c r="F46" i="6"/>
  <c r="D47" i="6"/>
  <c r="E47" i="6"/>
  <c r="F47" i="6"/>
  <c r="D48" i="6"/>
  <c r="E48" i="6"/>
  <c r="F48" i="6"/>
  <c r="D49" i="6"/>
  <c r="E49" i="6"/>
  <c r="F49" i="6"/>
  <c r="D50" i="6"/>
  <c r="E50" i="6"/>
  <c r="F50" i="6"/>
  <c r="D51" i="6"/>
  <c r="E51" i="6"/>
  <c r="F51" i="6"/>
  <c r="C51" i="6"/>
  <c r="C50" i="6"/>
  <c r="C49" i="6"/>
  <c r="C48" i="6"/>
  <c r="C47" i="6"/>
  <c r="C46" i="6"/>
  <c r="C45" i="6"/>
  <c r="C43" i="6"/>
  <c r="C81" i="6"/>
  <c r="C80" i="6"/>
  <c r="C79" i="6"/>
  <c r="C78" i="6"/>
  <c r="C77" i="6"/>
  <c r="C76" i="6"/>
  <c r="C75" i="6"/>
  <c r="C74" i="6"/>
  <c r="C73" i="6"/>
  <c r="F81" i="6"/>
  <c r="E81" i="6"/>
  <c r="D81" i="6"/>
  <c r="F80" i="6"/>
  <c r="E80" i="6"/>
  <c r="D80" i="6"/>
  <c r="F79" i="6"/>
  <c r="E79" i="6"/>
  <c r="D79" i="6"/>
  <c r="F78" i="6"/>
  <c r="E78" i="6"/>
  <c r="D78" i="6"/>
  <c r="F77" i="6"/>
  <c r="E77" i="6"/>
  <c r="D77" i="6"/>
  <c r="F76" i="6"/>
  <c r="E76" i="6"/>
  <c r="D76" i="6"/>
  <c r="F75" i="6"/>
  <c r="E75" i="6"/>
  <c r="D75" i="6"/>
  <c r="F74" i="6"/>
  <c r="E74" i="6"/>
  <c r="D74" i="6"/>
  <c r="F73" i="6"/>
  <c r="E73" i="6"/>
  <c r="D73" i="6"/>
  <c r="C71" i="6"/>
  <c r="C70" i="6"/>
  <c r="C69" i="6"/>
  <c r="C68" i="6"/>
  <c r="C67" i="6"/>
  <c r="C66" i="6"/>
  <c r="C65" i="6"/>
  <c r="C64" i="6"/>
  <c r="C63" i="6"/>
  <c r="D33" i="6"/>
  <c r="E33" i="6"/>
  <c r="F33" i="6"/>
  <c r="D34" i="6"/>
  <c r="E34" i="6"/>
  <c r="F34" i="6"/>
  <c r="D35" i="6"/>
  <c r="E35" i="6"/>
  <c r="F35" i="6"/>
  <c r="D36" i="6"/>
  <c r="E36" i="6"/>
  <c r="F36" i="6"/>
  <c r="D37" i="6"/>
  <c r="E37" i="6"/>
  <c r="F37" i="6"/>
  <c r="D38" i="6"/>
  <c r="E38" i="6"/>
  <c r="F38" i="6"/>
  <c r="D39" i="6"/>
  <c r="E39" i="6"/>
  <c r="F39" i="6"/>
  <c r="D40" i="6"/>
  <c r="E40" i="6"/>
  <c r="F40" i="6"/>
  <c r="D41" i="6"/>
  <c r="E41" i="6"/>
  <c r="F41" i="6"/>
  <c r="C41" i="6"/>
  <c r="C40" i="6"/>
  <c r="C39" i="6"/>
  <c r="C38" i="6"/>
  <c r="C37" i="6"/>
  <c r="C36" i="6"/>
  <c r="C35" i="6"/>
  <c r="C34" i="6"/>
  <c r="C33" i="6"/>
  <c r="D23" i="6"/>
  <c r="E23" i="6"/>
  <c r="F23" i="6"/>
  <c r="D24" i="6"/>
  <c r="E24" i="6"/>
  <c r="F24" i="6"/>
  <c r="D25" i="6"/>
  <c r="E25" i="6"/>
  <c r="F25" i="6"/>
  <c r="D26" i="6"/>
  <c r="E26" i="6"/>
  <c r="F26" i="6"/>
  <c r="D27" i="6"/>
  <c r="E27" i="6"/>
  <c r="F27" i="6"/>
  <c r="D28" i="6"/>
  <c r="E28" i="6"/>
  <c r="F28" i="6"/>
  <c r="D29" i="6"/>
  <c r="E29" i="6"/>
  <c r="F29" i="6"/>
  <c r="D30" i="6"/>
  <c r="E30" i="6"/>
  <c r="F30" i="6"/>
  <c r="D31" i="6"/>
  <c r="E31" i="6"/>
  <c r="F31" i="6"/>
  <c r="C31" i="6"/>
  <c r="C30" i="6"/>
  <c r="C29" i="6"/>
  <c r="C28" i="6"/>
  <c r="C27" i="6"/>
  <c r="C26" i="6"/>
  <c r="C25" i="6"/>
  <c r="C24" i="6"/>
  <c r="C23" i="6"/>
  <c r="C14" i="6"/>
  <c r="D13" i="6" l="1"/>
  <c r="E13" i="6"/>
  <c r="F13" i="6"/>
  <c r="D14" i="6"/>
  <c r="E14" i="6"/>
  <c r="F14" i="6"/>
  <c r="D15" i="6"/>
  <c r="E15" i="6"/>
  <c r="F15" i="6"/>
  <c r="D16" i="6"/>
  <c r="E16" i="6"/>
  <c r="F16" i="6"/>
  <c r="D17" i="6"/>
  <c r="E17" i="6"/>
  <c r="F17" i="6"/>
  <c r="D18" i="6"/>
  <c r="E18" i="6"/>
  <c r="F18" i="6"/>
  <c r="D19" i="6"/>
  <c r="E19" i="6"/>
  <c r="F19" i="6"/>
  <c r="D20" i="6"/>
  <c r="E20" i="6"/>
  <c r="F20" i="6"/>
  <c r="D21" i="6"/>
  <c r="E21" i="6"/>
  <c r="F21" i="6"/>
  <c r="C21" i="6"/>
  <c r="C20" i="6"/>
  <c r="C19" i="6"/>
  <c r="C18" i="6"/>
  <c r="C17" i="6"/>
  <c r="C16" i="6"/>
  <c r="C15" i="6"/>
  <c r="C13" i="6"/>
  <c r="C11" i="6"/>
  <c r="C10" i="6"/>
  <c r="C9" i="6"/>
  <c r="C8" i="6"/>
  <c r="C7" i="6"/>
  <c r="C6" i="6"/>
  <c r="C5" i="6"/>
  <c r="C4" i="6"/>
  <c r="C3" i="6"/>
  <c r="D3" i="6"/>
  <c r="E3" i="6"/>
  <c r="F3" i="6"/>
  <c r="D4" i="6"/>
  <c r="E4" i="6"/>
  <c r="F4" i="6"/>
  <c r="D5" i="6"/>
  <c r="E5" i="6"/>
  <c r="F5" i="6"/>
  <c r="D6" i="6"/>
  <c r="E6" i="6"/>
  <c r="F6" i="6"/>
  <c r="D7" i="6"/>
  <c r="E7" i="6"/>
  <c r="F7" i="6"/>
  <c r="D8" i="6"/>
  <c r="E8" i="6"/>
  <c r="F8" i="6"/>
  <c r="D9" i="6"/>
  <c r="E9" i="6"/>
  <c r="F9" i="6"/>
  <c r="D10" i="6"/>
  <c r="E10" i="6"/>
  <c r="F10" i="6"/>
  <c r="D11" i="6"/>
  <c r="E11" i="6"/>
  <c r="F11" i="6"/>
  <c r="E82" i="4" l="1"/>
  <c r="E83" i="4"/>
  <c r="E84" i="4"/>
  <c r="E85" i="4"/>
  <c r="E86" i="4"/>
  <c r="E87" i="4"/>
  <c r="E88" i="4"/>
  <c r="E89" i="4"/>
  <c r="E81" i="4"/>
  <c r="E72" i="4"/>
  <c r="E73" i="4"/>
  <c r="E74" i="4"/>
  <c r="E75" i="4"/>
  <c r="E76" i="4"/>
  <c r="E77" i="4"/>
  <c r="E78" i="4"/>
  <c r="E79" i="4"/>
  <c r="E71" i="4"/>
  <c r="E62" i="4"/>
  <c r="E63" i="4"/>
  <c r="E64" i="4"/>
  <c r="E65" i="4"/>
  <c r="E66" i="4"/>
  <c r="E67" i="4"/>
  <c r="E68" i="4"/>
  <c r="E69" i="4"/>
  <c r="E61" i="4"/>
  <c r="E52" i="4"/>
  <c r="E53" i="4"/>
  <c r="E54" i="4"/>
  <c r="E55" i="4"/>
  <c r="E56" i="4"/>
  <c r="E57" i="4"/>
  <c r="E58" i="4"/>
  <c r="E59" i="4"/>
  <c r="E51" i="4"/>
  <c r="E42" i="4"/>
  <c r="E43" i="4"/>
  <c r="E44" i="4"/>
  <c r="E45" i="4"/>
  <c r="E46" i="4"/>
  <c r="E47" i="4"/>
  <c r="E48" i="4"/>
  <c r="E49" i="4"/>
  <c r="E41" i="4"/>
  <c r="E3" i="4"/>
  <c r="E23" i="4"/>
  <c r="E24" i="4"/>
  <c r="E25" i="4"/>
  <c r="E26" i="4"/>
  <c r="E27" i="4"/>
  <c r="E28" i="4"/>
  <c r="E29" i="4"/>
  <c r="E30" i="4"/>
  <c r="E31" i="4"/>
  <c r="E13" i="4"/>
  <c r="E17" i="4"/>
  <c r="E18" i="4"/>
  <c r="E19" i="4"/>
  <c r="E20" i="4"/>
  <c r="E21" i="4"/>
  <c r="E16" i="4"/>
  <c r="E15" i="4"/>
  <c r="E14" i="4"/>
  <c r="E4" i="4"/>
  <c r="E5" i="4"/>
  <c r="E6" i="4"/>
  <c r="E7" i="4"/>
  <c r="E8" i="4"/>
  <c r="E9" i="4"/>
  <c r="E10" i="4"/>
  <c r="E11" i="4"/>
</calcChain>
</file>

<file path=xl/sharedStrings.xml><?xml version="1.0" encoding="utf-8"?>
<sst xmlns="http://schemas.openxmlformats.org/spreadsheetml/2006/main" count="834" uniqueCount="129">
  <si>
    <t>Workshop Titles</t>
  </si>
  <si>
    <t>Academic</t>
  </si>
  <si>
    <t>Creating a learning environment</t>
  </si>
  <si>
    <t>Getting the most out of class</t>
  </si>
  <si>
    <t>Patterns for academic success</t>
  </si>
  <si>
    <t>Test- Taking</t>
  </si>
  <si>
    <t>Elevating your mindset</t>
  </si>
  <si>
    <t>Effective Feedback</t>
  </si>
  <si>
    <t xml:space="preserve">Goal Setting </t>
  </si>
  <si>
    <t>The power of yet</t>
  </si>
  <si>
    <t>Choosing a growth mindset</t>
  </si>
  <si>
    <t>Leadership (sequence)</t>
  </si>
  <si>
    <t>Life skills</t>
  </si>
  <si>
    <t>Decision Making- 7S</t>
  </si>
  <si>
    <t>Decision making 8 wastes</t>
  </si>
  <si>
    <t>Decision Making- Pugh Matrix</t>
  </si>
  <si>
    <t>Decision Making- Standard Work</t>
  </si>
  <si>
    <t>Maximize your time: Focus Funnel</t>
  </si>
  <si>
    <t xml:space="preserve">Maximize your time: Problem solving </t>
  </si>
  <si>
    <t>Maximize your time: RAC method</t>
  </si>
  <si>
    <t xml:space="preserve">Planning and goal achievement </t>
  </si>
  <si>
    <t xml:space="preserve">Realize your potential </t>
  </si>
  <si>
    <t>Strengthening Roomate Relationships and Friendships</t>
  </si>
  <si>
    <t>Life skills (one time a semester)</t>
  </si>
  <si>
    <t>Spiritual</t>
  </si>
  <si>
    <t>Rebuilding your testimony</t>
  </si>
  <si>
    <t>Applying the Atonement to your life</t>
  </si>
  <si>
    <t>Likening the scriptures</t>
  </si>
  <si>
    <t xml:space="preserve">Financial </t>
  </si>
  <si>
    <t>Managing your money</t>
  </si>
  <si>
    <t>Budgeting</t>
  </si>
  <si>
    <t>Savings</t>
  </si>
  <si>
    <t>Debt Management</t>
  </si>
  <si>
    <t>Giving back while in school</t>
  </si>
  <si>
    <t xml:space="preserve">International Students 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</si>
  <si>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</si>
  <si>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</si>
  <si>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</si>
  <si>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</si>
  <si>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</si>
  <si>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</si>
  <si>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</si>
  <si>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</si>
  <si>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</si>
  <si>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Goal Setting</t>
  </si>
  <si>
    <t>Saving</t>
  </si>
  <si>
    <t>International Students</t>
  </si>
  <si>
    <t>Choosing a Growth Mindset</t>
  </si>
  <si>
    <t>Problem Solving</t>
  </si>
  <si>
    <t>Test taking</t>
  </si>
  <si>
    <t xml:space="preserve">Budgeting </t>
  </si>
  <si>
    <t>realizing your potential</t>
  </si>
  <si>
    <t xml:space="preserve">Savings </t>
  </si>
  <si>
    <t>Debt management</t>
  </si>
  <si>
    <t>Day</t>
  </si>
  <si>
    <t>Date</t>
  </si>
  <si>
    <t>Time</t>
  </si>
  <si>
    <t>Workshop</t>
  </si>
  <si>
    <t>Location</t>
  </si>
  <si>
    <t>Tues</t>
  </si>
  <si>
    <t>1pm</t>
  </si>
  <si>
    <t>Wed</t>
  </si>
  <si>
    <t>10am</t>
  </si>
  <si>
    <t>MC 176 C</t>
  </si>
  <si>
    <t>3:15pm</t>
  </si>
  <si>
    <t>MC 176 D</t>
  </si>
  <si>
    <t>7pm</t>
  </si>
  <si>
    <t>Thurs</t>
  </si>
  <si>
    <t>9am</t>
  </si>
  <si>
    <t>2pm</t>
  </si>
  <si>
    <t>MC 176 B</t>
  </si>
  <si>
    <t>MC 174 A</t>
  </si>
  <si>
    <t>Fri</t>
  </si>
  <si>
    <t xml:space="preserve"> Thurs</t>
  </si>
  <si>
    <t>MC 176 A</t>
  </si>
  <si>
    <t xml:space="preserve">MC 176 B </t>
  </si>
  <si>
    <t>MC 174 B</t>
  </si>
  <si>
    <t>MC 174A</t>
  </si>
  <si>
    <t>MC 174  A</t>
  </si>
  <si>
    <t>Career</t>
  </si>
  <si>
    <t>Financial</t>
  </si>
  <si>
    <t>Leadership</t>
  </si>
  <si>
    <t>Life Skills</t>
  </si>
  <si>
    <t>Simple Leadership</t>
  </si>
  <si>
    <t>Week 5</t>
  </si>
  <si>
    <t>Thur</t>
  </si>
  <si>
    <t xml:space="preserve">Wed </t>
  </si>
  <si>
    <t>Workshop Title</t>
  </si>
  <si>
    <t>Companionship</t>
  </si>
  <si>
    <t>Room #</t>
  </si>
  <si>
    <t>Fri 10am</t>
  </si>
  <si>
    <t>Tues 1pm</t>
  </si>
  <si>
    <t>Wed 10am</t>
  </si>
  <si>
    <t>Wed 3:15pm</t>
  </si>
  <si>
    <t>Wed 7pm</t>
  </si>
  <si>
    <t>Thurs 9am</t>
  </si>
  <si>
    <t>Thurs 2pm</t>
  </si>
  <si>
    <t>Thurs 7pm</t>
  </si>
  <si>
    <t>Day/Time</t>
  </si>
  <si>
    <t>Thurs 2pm (TBD)</t>
  </si>
  <si>
    <t># Attendees</t>
  </si>
  <si>
    <t>Description</t>
  </si>
  <si>
    <t>Total Attendace</t>
  </si>
  <si>
    <t>Total Workshops</t>
  </si>
  <si>
    <t>Average Attendance/workshop</t>
  </si>
  <si>
    <t>With D.L.T.</t>
  </si>
  <si>
    <t>Without D.L.T.</t>
  </si>
  <si>
    <t>Most Popular Workshop</t>
  </si>
  <si>
    <t>Rank</t>
  </si>
  <si>
    <t>Attendance #</t>
  </si>
  <si>
    <t>Weekly</t>
  </si>
  <si>
    <t>Total</t>
  </si>
  <si>
    <t>Week 1</t>
  </si>
  <si>
    <t>Facilitator</t>
  </si>
  <si>
    <t>Topic</t>
  </si>
  <si>
    <t>Attendance</t>
  </si>
  <si>
    <t>Week2</t>
  </si>
  <si>
    <t>Week 3</t>
  </si>
  <si>
    <t>Week 4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</si>
  <si>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</si>
  <si>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</si>
  <si>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</si>
  <si>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</si>
  <si>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</si>
  <si>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</si>
  <si>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</si>
  <si>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</si>
  <si>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</si>
  <si>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Disciple Leader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</si>
</sst>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[$-409]mmmm\ d\,\ yyyy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Times New Roman"/>
      <family val="1"/>
    </font>
    <font>
      <b/>
      <sz val="14"/>
      <color theme="4" tint="-0.499984740745262"/>
      <name val="Times New Roman"/>
      <family val="1"/>
    </font>
    <font>
      <b/>
      <sz val="14"/>
      <color theme="5" tint="-0.499984740745262"/>
      <name val="Times New Roman"/>
      <family val="1"/>
    </font>
    <font>
      <b/>
      <sz val="14"/>
      <color theme="6" tint="-0.499984740745262"/>
      <name val="Times New Roman"/>
      <family val="1"/>
    </font>
    <font>
      <b/>
      <sz val="14"/>
      <color theme="7" tint="-0.499984740745262"/>
      <name val="Times New Roman"/>
      <family val="1"/>
    </font>
    <font>
      <b/>
      <sz val="14"/>
      <color theme="8" tint="-0.499984740745262"/>
      <name val="Times New Roman"/>
      <family val="1"/>
    </font>
    <font>
      <b/>
      <sz val="11"/>
      <color rgb="FFC00000"/>
      <name val="Calibri"/>
      <family val="2"/>
      <scheme val="minor"/>
    </font>
    <font>
      <b/>
      <sz val="16"/>
      <color theme="1"/>
      <name val="Times New Roman"/>
      <family val="1"/>
    </font>
    <font>
      <sz val="11"/>
      <color theme="7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1F497D"/>
      <name val="Times New Roman"/>
      <family val="1"/>
    </font>
    <font>
      <b/>
      <sz val="3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EAAF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7">
    <xf numFmtId="0" fontId="0" fillId="0" borderId="0" xfId="0"/>
    <xf numFmtId="0" fontId="18" fillId="0" borderId="10" xfId="0" applyFont="1" applyBorder="1"/>
    <xf numFmtId="0" fontId="0" fillId="0" borderId="10" xfId="0" applyBorder="1"/>
    <xf numFmtId="0" fontId="19" fillId="0" borderId="10" xfId="0" applyFont="1" applyBorder="1"/>
    <xf numFmtId="0" fontId="20" fillId="0" borderId="10" xfId="0" applyFont="1" applyBorder="1"/>
    <xf numFmtId="0" fontId="21" fillId="0" borderId="10" xfId="0" applyFont="1" applyBorder="1"/>
    <xf numFmtId="0" fontId="22" fillId="0" borderId="10" xfId="0" applyFont="1" applyBorder="1"/>
    <xf numFmtId="0" fontId="23" fillId="0" borderId="10" xfId="0" applyFont="1" applyBorder="1"/>
    <xf numFmtId="0" fontId="24" fillId="0" borderId="10" xfId="0" applyFont="1" applyBorder="1"/>
    <xf numFmtId="0" fontId="0" fillId="0" borderId="11" xfId="0" applyBorder="1"/>
    <xf numFmtId="0" fontId="0" fillId="0" borderId="0" xfId="0" applyBorder="1"/>
    <xf numFmtId="0" fontId="26" fillId="0" borderId="12" xfId="0" applyFont="1" applyBorder="1"/>
    <xf numFmtId="0" fontId="25" fillId="0" borderId="13" xfId="0" applyFont="1" applyBorder="1"/>
    <xf numFmtId="0" fontId="25" fillId="0" borderId="14" xfId="0" applyFont="1" applyBorder="1"/>
    <xf numFmtId="0" fontId="25" fillId="0" borderId="15" xfId="0" applyFont="1" applyBorder="1"/>
    <xf numFmtId="0" fontId="0" fillId="0" borderId="14" xfId="0" applyFill="1" applyBorder="1"/>
    <xf numFmtId="0" fontId="0" fillId="0" borderId="16" xfId="0" applyBorder="1"/>
    <xf numFmtId="0" fontId="27" fillId="0" borderId="10" xfId="0" applyFont="1" applyBorder="1"/>
    <xf numFmtId="0" fontId="0" fillId="0" borderId="0" xfId="0" applyAlignment="1">
      <alignment horizontal="center"/>
    </xf>
    <xf numFmtId="0" fontId="29" fillId="0" borderId="18" xfId="0" applyFont="1" applyBorder="1" applyAlignment="1">
      <alignment vertical="center" wrapText="1"/>
    </xf>
    <xf numFmtId="0" fontId="29" fillId="0" borderId="21" xfId="0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0" fillId="39" borderId="17" xfId="0" applyFill="1" applyBorder="1"/>
    <xf numFmtId="0" fontId="25" fillId="0" borderId="26" xfId="0" applyFont="1" applyBorder="1"/>
    <xf numFmtId="0" fontId="25" fillId="0" borderId="27" xfId="0" applyFont="1" applyBorder="1"/>
    <xf numFmtId="0" fontId="25" fillId="0" borderId="28" xfId="0" applyFont="1" applyBorder="1"/>
    <xf numFmtId="0" fontId="0" fillId="35" borderId="10" xfId="0" applyFill="1" applyBorder="1"/>
    <xf numFmtId="0" fontId="0" fillId="39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0" fillId="38" borderId="18" xfId="0" applyFill="1" applyBorder="1"/>
    <xf numFmtId="0" fontId="0" fillId="38" borderId="19" xfId="0" applyFill="1" applyBorder="1"/>
    <xf numFmtId="0" fontId="0" fillId="38" borderId="20" xfId="0" applyFill="1" applyBorder="1"/>
    <xf numFmtId="0" fontId="0" fillId="35" borderId="21" xfId="0" applyFill="1" applyBorder="1"/>
    <xf numFmtId="0" fontId="0" fillId="35" borderId="22" xfId="0" applyFill="1" applyBorder="1"/>
    <xf numFmtId="0" fontId="0" fillId="39" borderId="21" xfId="0" applyFill="1" applyBorder="1"/>
    <xf numFmtId="0" fontId="0" fillId="39" borderId="22" xfId="0" applyFill="1" applyBorder="1"/>
    <xf numFmtId="0" fontId="0" fillId="36" borderId="21" xfId="0" applyFill="1" applyBorder="1"/>
    <xf numFmtId="0" fontId="0" fillId="36" borderId="22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3" xfId="0" applyFill="1" applyBorder="1"/>
    <xf numFmtId="0" fontId="0" fillId="37" borderId="24" xfId="0" applyFill="1" applyBorder="1"/>
    <xf numFmtId="0" fontId="0" fillId="37" borderId="25" xfId="0" applyFill="1" applyBorder="1"/>
    <xf numFmtId="0" fontId="0" fillId="35" borderId="29" xfId="0" applyFill="1" applyBorder="1"/>
    <xf numFmtId="0" fontId="0" fillId="34" borderId="30" xfId="0" applyFill="1" applyBorder="1"/>
    <xf numFmtId="0" fontId="0" fillId="36" borderId="30" xfId="0" applyFill="1" applyBorder="1"/>
    <xf numFmtId="0" fontId="0" fillId="37" borderId="30" xfId="0" applyFill="1" applyBorder="1"/>
    <xf numFmtId="0" fontId="0" fillId="38" borderId="31" xfId="0" applyFill="1" applyBorder="1"/>
    <xf numFmtId="0" fontId="0" fillId="40" borderId="10" xfId="0" applyFill="1" applyBorder="1"/>
    <xf numFmtId="0" fontId="30" fillId="41" borderId="32" xfId="0" applyFont="1" applyFill="1" applyBorder="1" applyAlignment="1">
      <alignment horizontal="center" vertical="center"/>
    </xf>
    <xf numFmtId="0" fontId="30" fillId="41" borderId="33" xfId="0" applyFont="1" applyFill="1" applyBorder="1" applyAlignment="1">
      <alignment horizontal="center" vertical="center"/>
    </xf>
    <xf numFmtId="0" fontId="30" fillId="41" borderId="3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3" borderId="10" xfId="0" applyFill="1" applyBorder="1" applyAlignment="1">
      <alignment horizontal="center" vertical="center"/>
    </xf>
    <xf numFmtId="14" fontId="0" fillId="33" borderId="10" xfId="0" applyNumberFormat="1" applyFill="1" applyBorder="1" applyAlignment="1">
      <alignment horizontal="center" vertical="center"/>
    </xf>
    <xf numFmtId="0" fontId="26" fillId="33" borderId="1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14" fontId="0" fillId="34" borderId="10" xfId="0" applyNumberForma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18" fontId="0" fillId="34" borderId="10" xfId="0" applyNumberForma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0" fillId="33" borderId="32" xfId="0" applyFill="1" applyBorder="1" applyAlignment="1">
      <alignment horizontal="center" vertical="center"/>
    </xf>
    <xf numFmtId="0" fontId="0" fillId="40" borderId="0" xfId="0" applyFill="1" applyBorder="1"/>
    <xf numFmtId="0" fontId="0" fillId="38" borderId="18" xfId="0" applyFill="1" applyBorder="1" applyAlignment="1">
      <alignment horizontal="center" vertical="center"/>
    </xf>
    <xf numFmtId="0" fontId="23" fillId="0" borderId="0" xfId="0" applyFont="1" applyBorder="1"/>
    <xf numFmtId="0" fontId="24" fillId="0" borderId="0" xfId="0" applyFont="1" applyBorder="1"/>
    <xf numFmtId="0" fontId="23" fillId="0" borderId="0" xfId="0" applyFont="1" applyFill="1" applyBorder="1"/>
    <xf numFmtId="0" fontId="24" fillId="0" borderId="0" xfId="0" applyFont="1" applyFill="1" applyBorder="1"/>
    <xf numFmtId="0" fontId="0" fillId="33" borderId="0" xfId="0" applyFill="1"/>
    <xf numFmtId="0" fontId="31" fillId="33" borderId="10" xfId="0" applyFont="1" applyFill="1" applyBorder="1"/>
    <xf numFmtId="0" fontId="0" fillId="33" borderId="10" xfId="0" applyFill="1" applyBorder="1"/>
    <xf numFmtId="14" fontId="0" fillId="33" borderId="10" xfId="0" applyNumberFormat="1" applyFill="1" applyBorder="1"/>
    <xf numFmtId="0" fontId="0" fillId="33" borderId="11" xfId="0" applyFill="1" applyBorder="1" applyAlignment="1">
      <alignment horizontal="center"/>
    </xf>
    <xf numFmtId="0" fontId="0" fillId="33" borderId="35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32" xfId="0" applyFill="1" applyBorder="1" applyAlignment="1">
      <alignment horizontal="center"/>
    </xf>
    <xf numFmtId="0" fontId="0" fillId="33" borderId="33" xfId="0" applyFill="1" applyBorder="1" applyAlignment="1">
      <alignment horizontal="center"/>
    </xf>
    <xf numFmtId="0" fontId="0" fillId="33" borderId="34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36" xfId="0" applyBorder="1"/>
    <xf numFmtId="0" fontId="0" fillId="0" borderId="37" xfId="0" applyBorder="1"/>
    <xf numFmtId="0" fontId="32" fillId="0" borderId="37" xfId="0" applyFont="1" applyBorder="1"/>
    <xf numFmtId="0" fontId="27" fillId="42" borderId="13" xfId="0" applyFont="1" applyFill="1" applyBorder="1" applyAlignment="1">
      <alignment horizontal="center"/>
    </xf>
    <xf numFmtId="0" fontId="27" fillId="42" borderId="14" xfId="0" applyFont="1" applyFill="1" applyBorder="1" applyAlignment="1">
      <alignment horizontal="center"/>
    </xf>
    <xf numFmtId="0" fontId="27" fillId="42" borderId="15" xfId="0" applyFont="1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14" xfId="0" applyFill="1" applyBorder="1" applyAlignment="1">
      <alignment horizontal="center"/>
    </xf>
    <xf numFmtId="0" fontId="0" fillId="42" borderId="15" xfId="0" applyFill="1" applyBorder="1" applyAlignment="1">
      <alignment horizontal="center"/>
    </xf>
    <xf numFmtId="0" fontId="0" fillId="43" borderId="38" xfId="0" applyFill="1" applyBorder="1"/>
    <xf numFmtId="0" fontId="0" fillId="43" borderId="12" xfId="0" applyFill="1" applyBorder="1"/>
    <xf numFmtId="0" fontId="0" fillId="43" borderId="39" xfId="0" applyFill="1" applyBorder="1"/>
    <xf numFmtId="0" fontId="0" fillId="43" borderId="10" xfId="0" applyFill="1" applyBorder="1"/>
    <xf numFmtId="0" fontId="0" fillId="44" borderId="18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0" fillId="44" borderId="20" xfId="0" applyFill="1" applyBorder="1" applyAlignment="1">
      <alignment horizontal="center"/>
    </xf>
    <xf numFmtId="0" fontId="0" fillId="43" borderId="21" xfId="0" applyFill="1" applyBorder="1"/>
    <xf numFmtId="0" fontId="0" fillId="43" borderId="22" xfId="0" applyFill="1" applyBorder="1"/>
    <xf numFmtId="0" fontId="33" fillId="43" borderId="40" xfId="0" applyFont="1" applyFill="1" applyBorder="1" applyAlignment="1">
      <alignment horizontal="center"/>
    </xf>
    <xf numFmtId="0" fontId="33" fillId="43" borderId="16" xfId="0" applyFont="1" applyFill="1" applyBorder="1" applyAlignment="1">
      <alignment horizontal="center"/>
    </xf>
    <xf numFmtId="0" fontId="33" fillId="43" borderId="41" xfId="0" applyFont="1" applyFill="1" applyBorder="1" applyAlignment="1">
      <alignment horizontal="center"/>
    </xf>
    <xf numFmtId="0" fontId="0" fillId="45" borderId="21" xfId="0" applyFill="1" applyBorder="1" applyAlignment="1">
      <alignment horizontal="center" vertical="center"/>
    </xf>
    <xf numFmtId="0" fontId="0" fillId="45" borderId="23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167" fontId="0" fillId="46" borderId="20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34" fillId="46" borderId="42" xfId="0" applyFont="1" applyFill="1" applyBorder="1" applyAlignment="1">
      <alignment horizontal="center" wrapText="1"/>
    </xf>
    <xf numFmtId="0" fontId="34" fillId="46" borderId="43" xfId="0" applyFont="1" applyFill="1" applyBorder="1" applyAlignment="1">
      <alignment horizontal="center" wrapText="1"/>
    </xf>
    <xf numFmtId="0" fontId="34" fillId="46" borderId="29" xfId="0" applyFont="1" applyFill="1" applyBorder="1" applyAlignment="1">
      <alignment horizontal="center" wrapText="1"/>
    </xf>
    <xf numFmtId="0" fontId="34" fillId="46" borderId="44" xfId="0" applyFont="1" applyFill="1" applyBorder="1" applyAlignment="1">
      <alignment horizontal="center" wrapText="1"/>
    </xf>
    <xf numFmtId="0" fontId="34" fillId="46" borderId="45" xfId="0" applyFont="1" applyFill="1" applyBorder="1" applyAlignment="1">
      <alignment horizontal="center" wrapText="1"/>
    </xf>
    <xf numFmtId="0" fontId="34" fillId="46" borderId="31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D.L.T. Attendance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DLT!$B$7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DLT!$C$7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DLT!$B$13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DLT!$C$13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DLT!$B$19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DLT!$C$19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DLT!$B$25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DLT!$C$25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DLT!$B$31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DLT!$C$31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DLT!$B$37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DLT!$C$37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DLT!$E$7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DLT!$F$7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DLT!$E$13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2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DLT!$F$13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DLT!$E$19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3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DLT!$F$19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DLT!$E$25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DLT!$F$25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DLT!$E$31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DLT!$F$31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DLT!$E$37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DLT!$F$37</c:f>
              <c:numCache>
                <c:formatCode>General</c:formatCode>
                <c:ptCount val="1"/>
              </c:numCache>
            </c:numRef>
          </c:val>
        </c:ser>
        <c:ser>
          <c:idx val="12"/>
          <c:order val="12"/>
          <c:tx>
            <c:strRef>
              <c:f>DLT!$H$7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DLT!$I$7</c:f>
              <c:numCache>
                <c:formatCode>General</c:formatCode>
                <c:ptCount val="1"/>
              </c:numCache>
            </c:numRef>
          </c:val>
        </c:ser>
        <c:ser>
          <c:idx val="13"/>
          <c:order val="13"/>
          <c:tx>
            <c:strRef>
              <c:f>DLT!$H$13</c:f>
              <c:strCache>
                <c:ptCount val="1"/>
                <c:pt idx="0">
                  <c:v>Attendance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(DLT!$B$4,DLT!$B$10,DLT!$B$16,DLT!$B$22,DLT!$B$28,DLT!$B$34,DLT!$E$4,DLT!$E$10,DLT!$E$16,DLT!$E$22,DLT!$E$28,DLT!$E$34,DLT!$H$4,DLT!$H$10)</c:f>
              <c:strCache>
                <c:ptCount val="14"/>
                <c:pt idx="0">
                  <c:v>Week 1</c:v>
                </c:pt>
                <c:pt idx="1">
                  <c:v>Week2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</c:strCache>
            </c:strRef>
          </c:cat>
          <c:val>
            <c:numRef>
              <c:f>DLT!$I$13</c:f>
              <c:numCache>
                <c:formatCode>General</c:formatCode>
                <c:ptCount val="1"/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38579216"/>
        <c:axId val="638583024"/>
      </c:barChart>
      <c:catAx>
        <c:axId val="63857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83024"/>
        <c:crosses val="autoZero"/>
        <c:auto val="0"/>
        <c:lblAlgn val="ctr"/>
        <c:lblOffset val="100"/>
        <c:noMultiLvlLbl val="0"/>
      </c:catAx>
      <c:valAx>
        <c:axId val="63858302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3857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17</xdr:row>
      <xdr:rowOff>176212</xdr:rowOff>
    </xdr:from>
    <xdr:to>
      <xdr:col>14</xdr:col>
      <xdr:colOff>209550</xdr:colOff>
      <xdr:row>32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1"/>
  <sheetViews>
    <sheetView showGridLines="0" topLeftCell="A13" workbookViewId="0">
      <selection activeCell="G18" sqref="G18"/>
    </sheetView>
  </sheetViews>
  <sheetFormatPr defaultRowHeight="15" x14ac:dyDescent="0.25"/>
  <cols>
    <col min="1" max="1" width="16.125" style="69" bestFit="1" customWidth="1"/>
    <col min="2" max="2" width="10.75" style="69" bestFit="1" customWidth="1"/>
    <col min="3" max="3" width="42.375" style="69" bestFit="1" customWidth="1"/>
    <col min="4" max="4" width="8.75" style="69" bestFit="1" customWidth="1"/>
    <col min="5" max="5" width="9.375" style="69" bestFit="1" customWidth="1"/>
    <col min="6" max="6" width="6.875" style="69" bestFit="1" customWidth="1"/>
    <col min="7" max="7" width="12.375" style="69" bestFit="1" customWidth="1"/>
    <col min="8" max="16384" width="9" style="69"/>
  </cols>
  <sheetData>
    <row r="1" spans="1:7" x14ac:dyDescent="0.25">
      <c r="C1" s="69">
        <v>5</v>
      </c>
      <c r="D1" s="69">
        <v>6</v>
      </c>
      <c r="E1" s="69">
        <v>3</v>
      </c>
      <c r="F1" s="69">
        <v>4</v>
      </c>
    </row>
    <row r="2" spans="1:7" ht="27.75" customHeight="1" x14ac:dyDescent="0.3">
      <c r="A2" s="70" t="s">
        <v>88</v>
      </c>
      <c r="B2" s="70" t="s">
        <v>98</v>
      </c>
      <c r="C2" s="70" t="s">
        <v>87</v>
      </c>
      <c r="D2" s="70" t="s">
        <v>89</v>
      </c>
      <c r="E2" s="70" t="s">
        <v>55</v>
      </c>
      <c r="F2" s="70" t="s">
        <v>56</v>
      </c>
      <c r="G2" s="70" t="s">
        <v>100</v>
      </c>
    </row>
    <row r="3" spans="1:7" x14ac:dyDescent="0.25">
      <c r="A3" s="73"/>
      <c r="B3" s="71" t="s">
        <v>91</v>
      </c>
      <c r="C3" s="71" t="str">
        <f>VLOOKUP($B$3,Overview!$A$3:$F$11, C$1, FALSE)</f>
        <v>Rebuilding your testimony</v>
      </c>
      <c r="D3" s="71" t="str">
        <f>VLOOKUP($B$3,Overview!$A$3:$F$11, D$1, FALSE)</f>
        <v>MC 176 C</v>
      </c>
      <c r="E3" s="72">
        <f>VLOOKUP($B$3,Overview!$A$3:$F$11, E$1, FALSE)</f>
        <v>43494</v>
      </c>
      <c r="F3" s="71" t="str">
        <f>VLOOKUP($B$3,Overview!$A$3:$F$11, F$1, FALSE)</f>
        <v>1pm</v>
      </c>
      <c r="G3" s="71"/>
    </row>
    <row r="4" spans="1:7" x14ac:dyDescent="0.25">
      <c r="A4" s="74"/>
      <c r="B4" s="71" t="s">
        <v>91</v>
      </c>
      <c r="C4" s="71" t="str">
        <f>VLOOKUP($B$4,Overview!$A$13:$F$21, C1, FALSE)</f>
        <v>Applying the Atonement to your life</v>
      </c>
      <c r="D4" s="71" t="str">
        <f>VLOOKUP($B$3,Overview!$A$13:$F$21, D1, FALSE)</f>
        <v>MC 176 D</v>
      </c>
      <c r="E4" s="72">
        <f>VLOOKUP($B$3,Overview!$A$13:$F$21, E1, FALSE)</f>
        <v>43501</v>
      </c>
      <c r="F4" s="71" t="str">
        <f>VLOOKUP($B$3,Overview!$A$13:$F$21, F1, FALSE)</f>
        <v>1pm</v>
      </c>
      <c r="G4" s="71"/>
    </row>
    <row r="5" spans="1:7" x14ac:dyDescent="0.25">
      <c r="A5" s="74"/>
      <c r="B5" s="71" t="s">
        <v>91</v>
      </c>
      <c r="C5" s="71" t="str">
        <f>VLOOKUP($B$5,Overview!$A$23:$F$31, C1, FALSE)</f>
        <v>Likening the scriptures</v>
      </c>
      <c r="D5" s="71" t="str">
        <f>VLOOKUP($B$3,Overview!$A$23:$F$31, D1, FALSE)</f>
        <v>MC 174 B</v>
      </c>
      <c r="E5" s="72">
        <f>VLOOKUP($B$3,Overview!$A$23:$F$31, E1, FALSE)</f>
        <v>43508</v>
      </c>
      <c r="F5" s="71" t="str">
        <f>VLOOKUP($B$3,Overview!$A$23:$F$31, F1, FALSE)</f>
        <v>1pm</v>
      </c>
      <c r="G5" s="71"/>
    </row>
    <row r="6" spans="1:7" x14ac:dyDescent="0.25">
      <c r="A6" s="74"/>
      <c r="B6" s="71" t="s">
        <v>91</v>
      </c>
      <c r="C6" s="71" t="str">
        <f>VLOOKUP($B$6,Overview!$A$33:$F$39,C1, FALSE)</f>
        <v>Rebuilding your testimony</v>
      </c>
      <c r="D6" s="71" t="str">
        <f>VLOOKUP($B$3,Overview!$A$33:$F$39,D1, FALSE)</f>
        <v>MC 174 B</v>
      </c>
      <c r="E6" s="72">
        <f>VLOOKUP($B$3,Overview!$A$33:$F$39,E1, FALSE)</f>
        <v>43515</v>
      </c>
      <c r="F6" s="71" t="str">
        <f>VLOOKUP($B$3,Overview!$A$33:$F$39,F1, FALSE)</f>
        <v>1pm</v>
      </c>
      <c r="G6" s="71"/>
    </row>
    <row r="7" spans="1:7" x14ac:dyDescent="0.25">
      <c r="A7" s="74"/>
      <c r="B7" s="71" t="s">
        <v>91</v>
      </c>
      <c r="C7" s="71" t="str">
        <f>VLOOKUP($B$7,Overview!$A$41:$F$49, C1, FALSE)</f>
        <v>Rebuilding your testimony</v>
      </c>
      <c r="D7" s="71" t="str">
        <f>VLOOKUP($B$3,Overview!$A$41:$F$49, D1, FALSE)</f>
        <v>MC 174 B</v>
      </c>
      <c r="E7" s="72">
        <f>VLOOKUP($B$3,Overview!$A$41:$F$49, E1, FALSE)</f>
        <v>43522</v>
      </c>
      <c r="F7" s="71" t="str">
        <f>VLOOKUP($B$3,Overview!$A$41:$F$49, F1, FALSE)</f>
        <v>1pm</v>
      </c>
      <c r="G7" s="71"/>
    </row>
    <row r="8" spans="1:7" x14ac:dyDescent="0.25">
      <c r="A8" s="74"/>
      <c r="B8" s="71" t="s">
        <v>91</v>
      </c>
      <c r="C8" s="71" t="str">
        <f>VLOOKUP($B$8,Overview!$A$51:$F$59, C1, FALSE)</f>
        <v>Likening the scriptures</v>
      </c>
      <c r="D8" s="71" t="str">
        <f>VLOOKUP($B$3,Overview!$A$51:$F$59, D1, FALSE)</f>
        <v>MC 174 B</v>
      </c>
      <c r="E8" s="72">
        <f>VLOOKUP($B$3,Overview!$A$51:$F$59, E1, FALSE)</f>
        <v>43529</v>
      </c>
      <c r="F8" s="71" t="str">
        <f>VLOOKUP($B$3,Overview!$A$51:$F$59, F1, FALSE)</f>
        <v>1pm</v>
      </c>
      <c r="G8" s="71"/>
    </row>
    <row r="9" spans="1:7" x14ac:dyDescent="0.25">
      <c r="A9" s="74"/>
      <c r="B9" s="71" t="s">
        <v>91</v>
      </c>
      <c r="C9" s="71" t="str">
        <f>VLOOKUP($B$9,Overview!$A$61:$F$69, C1, FALSE)</f>
        <v>Rebuilding your testimony</v>
      </c>
      <c r="D9" s="71" t="str">
        <f>VLOOKUP($B$3,Overview!$A$61:$F$69, D1, FALSE)</f>
        <v>MC 174 B</v>
      </c>
      <c r="E9" s="72">
        <f>VLOOKUP($B$3,Overview!$A$61:$F$69, E1, FALSE)</f>
        <v>43536</v>
      </c>
      <c r="F9" s="71" t="str">
        <f>VLOOKUP($B$3,Overview!$A$61:$F$69, F1, FALSE)</f>
        <v>1pm</v>
      </c>
      <c r="G9" s="71"/>
    </row>
    <row r="10" spans="1:7" x14ac:dyDescent="0.25">
      <c r="A10" s="74"/>
      <c r="B10" s="71" t="s">
        <v>91</v>
      </c>
      <c r="C10" s="71" t="str">
        <f>VLOOKUP($B$10,Overview!$A$71:$F$79, C1, FALSE)</f>
        <v>Applying the Atonement to your life</v>
      </c>
      <c r="D10" s="71" t="str">
        <f>VLOOKUP($B$3,Overview!$A$71:$F$79, D1, FALSE)</f>
        <v>MC 174 B</v>
      </c>
      <c r="E10" s="72">
        <f>VLOOKUP($B$3,Overview!$A$71:$F$79, E1, FALSE)</f>
        <v>43543</v>
      </c>
      <c r="F10" s="71" t="str">
        <f>VLOOKUP($B$3,Overview!$A$71:$F$79, F1, FALSE)</f>
        <v>1pm</v>
      </c>
      <c r="G10" s="71"/>
    </row>
    <row r="11" spans="1:7" x14ac:dyDescent="0.25">
      <c r="A11" s="75"/>
      <c r="B11" s="71" t="s">
        <v>91</v>
      </c>
      <c r="C11" s="71" t="str">
        <f>VLOOKUP($B$11,Overview!$A$81:$F$89, C1, FALSE)</f>
        <v>Likening the scriptures</v>
      </c>
      <c r="D11" s="71" t="str">
        <f>VLOOKUP($B$3,Overview!$A$81:$F$89, D1, FALSE)</f>
        <v>MC 174 B</v>
      </c>
      <c r="E11" s="72">
        <f>VLOOKUP($B$3,Overview!$A$81:$F$89, E1, FALSE)</f>
        <v>43550</v>
      </c>
      <c r="F11" s="71" t="str">
        <f>VLOOKUP($B$3,Overview!$A$81:$F$89, F1, FALSE)</f>
        <v>1pm</v>
      </c>
      <c r="G11" s="71"/>
    </row>
    <row r="12" spans="1:7" x14ac:dyDescent="0.25">
      <c r="A12" s="76"/>
      <c r="B12" s="77"/>
      <c r="C12" s="77"/>
      <c r="D12" s="77"/>
      <c r="E12" s="77"/>
      <c r="F12" s="77"/>
      <c r="G12" s="78"/>
    </row>
    <row r="13" spans="1:7" x14ac:dyDescent="0.25">
      <c r="A13" s="73"/>
      <c r="B13" s="71" t="s">
        <v>92</v>
      </c>
      <c r="C13" s="71" t="str">
        <f>VLOOKUP($B$13,Overview!$A$3:$F$11, C$1, FALSE)</f>
        <v>Elevating your mindset</v>
      </c>
      <c r="D13" s="71" t="str">
        <f>VLOOKUP($B$13,Overview!$A$3:$F$11, D$1, FALSE)</f>
        <v>MC 176 D</v>
      </c>
      <c r="E13" s="72">
        <f>VLOOKUP($B$13,Overview!$A$3:$F$11, E$1, FALSE)</f>
        <v>43495</v>
      </c>
      <c r="F13" s="71" t="str">
        <f>VLOOKUP($B$13,Overview!$A$3:$F$11, F$1, FALSE)</f>
        <v>10am</v>
      </c>
      <c r="G13" s="71"/>
    </row>
    <row r="14" spans="1:7" x14ac:dyDescent="0.25">
      <c r="A14" s="74"/>
      <c r="B14" s="71" t="s">
        <v>92</v>
      </c>
      <c r="C14" s="71" t="str">
        <f>VLOOKUP($B$14,Overview!$A$13:$F$21, C$1, FALSE)</f>
        <v>Choosing a Growth Mindset</v>
      </c>
      <c r="D14" s="71" t="str">
        <f>VLOOKUP($B$14,Overview!$A$13:$F$21, D$1, FALSE)</f>
        <v>MC 176 C</v>
      </c>
      <c r="E14" s="72">
        <f>VLOOKUP($B$14,Overview!$A$13:$F$21, E$1, FALSE)</f>
        <v>43502</v>
      </c>
      <c r="F14" s="71" t="str">
        <f>VLOOKUP($B$14,Overview!$A$13:$F$21, F$1, FALSE)</f>
        <v>10am</v>
      </c>
      <c r="G14" s="71"/>
    </row>
    <row r="15" spans="1:7" x14ac:dyDescent="0.25">
      <c r="A15" s="74"/>
      <c r="B15" s="71" t="s">
        <v>92</v>
      </c>
      <c r="C15" s="71" t="str">
        <f>VLOOKUP($B$15,Overview!$A$23:$F$31, C$1, FALSE)</f>
        <v>Effective Feedback</v>
      </c>
      <c r="D15" s="71" t="str">
        <f>VLOOKUP($B$15,Overview!$A$23:$F$31, D$1, FALSE)</f>
        <v>MC 176 B</v>
      </c>
      <c r="E15" s="72">
        <f>VLOOKUP($B$15,Overview!$A$23:$F$31, E$1, FALSE)</f>
        <v>43509</v>
      </c>
      <c r="F15" s="71" t="str">
        <f>VLOOKUP($B$15,Overview!$A$23:$F$31, F$1, FALSE)</f>
        <v>10am</v>
      </c>
      <c r="G15" s="71"/>
    </row>
    <row r="16" spans="1:7" x14ac:dyDescent="0.25">
      <c r="A16" s="74"/>
      <c r="B16" s="71" t="s">
        <v>92</v>
      </c>
      <c r="C16" s="71" t="str">
        <f>VLOOKUP($B$16,Overview!$A$33:$F$39,C$1, FALSE)</f>
        <v>Elevating your mindset</v>
      </c>
      <c r="D16" s="71" t="str">
        <f>VLOOKUP($B$16,Overview!$A$33:$F$39,D$1, FALSE)</f>
        <v>MC 176 B</v>
      </c>
      <c r="E16" s="72">
        <f>VLOOKUP($B$16,Overview!$A$33:$F$39,E$1, FALSE)</f>
        <v>43516</v>
      </c>
      <c r="F16" s="71" t="str">
        <f>VLOOKUP($B$16,Overview!$A$33:$F$39,F$1, FALSE)</f>
        <v>10am</v>
      </c>
      <c r="G16" s="71"/>
    </row>
    <row r="17" spans="1:7" x14ac:dyDescent="0.25">
      <c r="A17" s="74"/>
      <c r="B17" s="71" t="s">
        <v>92</v>
      </c>
      <c r="C17" s="71" t="str">
        <f>VLOOKUP($B$17,Overview!$A$41:$F$49, C$1, FALSE)</f>
        <v>Effective Feedback</v>
      </c>
      <c r="D17" s="71" t="str">
        <f>VLOOKUP($B$17,Overview!$A$41:$F$49, D$1, FALSE)</f>
        <v>MC 176 B</v>
      </c>
      <c r="E17" s="72">
        <f>VLOOKUP($B$17,Overview!$A$41:$F$49, E$1, FALSE)</f>
        <v>43523</v>
      </c>
      <c r="F17" s="71" t="str">
        <f>VLOOKUP($B$17,Overview!$A$41:$F$49, F$1, FALSE)</f>
        <v>10am</v>
      </c>
      <c r="G17" s="71"/>
    </row>
    <row r="18" spans="1:7" x14ac:dyDescent="0.25">
      <c r="A18" s="74"/>
      <c r="B18" s="71" t="s">
        <v>92</v>
      </c>
      <c r="C18" s="71" t="str">
        <f>VLOOKUP($B$18,Overview!$A$51:$F$59, C$1, FALSE)</f>
        <v>Elevating your mindset</v>
      </c>
      <c r="D18" s="71" t="str">
        <f>VLOOKUP($B$18,Overview!$A$51:$F$59, D$1, FALSE)</f>
        <v>MC 176 B</v>
      </c>
      <c r="E18" s="72">
        <f>VLOOKUP($B$18,Overview!$A$51:$F$59, E$1, FALSE)</f>
        <v>43530</v>
      </c>
      <c r="F18" s="71" t="str">
        <f>VLOOKUP($B$18,Overview!$A$51:$F$59, F$1, FALSE)</f>
        <v>10am</v>
      </c>
      <c r="G18" s="71"/>
    </row>
    <row r="19" spans="1:7" x14ac:dyDescent="0.25">
      <c r="A19" s="74"/>
      <c r="B19" s="71" t="s">
        <v>92</v>
      </c>
      <c r="C19" s="71" t="str">
        <f>VLOOKUP($B$19,Overview!$A$61:$F$69, C$1, FALSE)</f>
        <v>Effective Feedback</v>
      </c>
      <c r="D19" s="71" t="str">
        <f>VLOOKUP($B$19,Overview!$A$61:$F$69, D$1, FALSE)</f>
        <v>MC 176 B</v>
      </c>
      <c r="E19" s="72">
        <f>VLOOKUP($B$19,Overview!$A$61:$F$69, E$1, FALSE)</f>
        <v>43537</v>
      </c>
      <c r="F19" s="71" t="str">
        <f>VLOOKUP($B$19,Overview!$A$61:$F$69, F$1, FALSE)</f>
        <v>10am</v>
      </c>
      <c r="G19" s="71"/>
    </row>
    <row r="20" spans="1:7" x14ac:dyDescent="0.25">
      <c r="A20" s="74"/>
      <c r="B20" s="71" t="s">
        <v>92</v>
      </c>
      <c r="C20" s="71" t="str">
        <f>VLOOKUP($B$20,Overview!$A$71:$F$79, C$1, FALSE)</f>
        <v>Choosing a Growth Mindset</v>
      </c>
      <c r="D20" s="71" t="str">
        <f>VLOOKUP($B$20,Overview!$A$71:$F$79, D$1, FALSE)</f>
        <v>MC 176 B</v>
      </c>
      <c r="E20" s="72">
        <f>VLOOKUP($B$20,Overview!$A$71:$F$79, E$1, FALSE)</f>
        <v>43544</v>
      </c>
      <c r="F20" s="71" t="str">
        <f>VLOOKUP($B$20,Overview!$A$71:$F$79, F$1, FALSE)</f>
        <v>10am</v>
      </c>
      <c r="G20" s="71"/>
    </row>
    <row r="21" spans="1:7" x14ac:dyDescent="0.25">
      <c r="A21" s="75"/>
      <c r="B21" s="71" t="s">
        <v>92</v>
      </c>
      <c r="C21" s="71" t="str">
        <f>VLOOKUP($B$21,Overview!$A$81:$F$89, C$1, FALSE)</f>
        <v>Effective Feedback</v>
      </c>
      <c r="D21" s="71" t="str">
        <f>VLOOKUP($B$21,Overview!$A$81:$F$89, D$1, FALSE)</f>
        <v>MC 176 B</v>
      </c>
      <c r="E21" s="72">
        <f>VLOOKUP($B$21,Overview!$A$81:$F$89, E$1, FALSE)</f>
        <v>43551</v>
      </c>
      <c r="F21" s="71" t="str">
        <f>VLOOKUP($B$21,Overview!$A$81:$F$89, F$1, FALSE)</f>
        <v>10am</v>
      </c>
      <c r="G21" s="71"/>
    </row>
    <row r="22" spans="1:7" x14ac:dyDescent="0.25">
      <c r="A22" s="76"/>
      <c r="B22" s="77"/>
      <c r="C22" s="77"/>
      <c r="D22" s="77"/>
      <c r="E22" s="77"/>
      <c r="F22" s="77"/>
      <c r="G22" s="78"/>
    </row>
    <row r="23" spans="1:7" x14ac:dyDescent="0.25">
      <c r="A23" s="73"/>
      <c r="B23" s="71" t="s">
        <v>93</v>
      </c>
      <c r="C23" s="71" t="str">
        <f>VLOOKUP($B$23,Overview!$A$3:$F$11, C$1, FALSE)</f>
        <v>Creating a learning environment</v>
      </c>
      <c r="D23" s="71" t="str">
        <f>VLOOKUP($B$23,Overview!$A$3:$F$11, D$1, FALSE)</f>
        <v>MC 176 C</v>
      </c>
      <c r="E23" s="72">
        <f>VLOOKUP($B$23,Overview!$A$3:$F$11, E$1, FALSE)</f>
        <v>43495</v>
      </c>
      <c r="F23" s="71" t="str">
        <f>VLOOKUP($B$23,Overview!$A$3:$F$11, F$1, FALSE)</f>
        <v>3:15pm</v>
      </c>
      <c r="G23" s="71"/>
    </row>
    <row r="24" spans="1:7" x14ac:dyDescent="0.25">
      <c r="A24" s="74"/>
      <c r="B24" s="71" t="s">
        <v>93</v>
      </c>
      <c r="C24" s="71" t="str">
        <f>VLOOKUP($B$24,Overview!$A$13:$F$21, C$1, FALSE)</f>
        <v>Getting the most out of class</v>
      </c>
      <c r="D24" s="71" t="str">
        <f>VLOOKUP($B$24,Overview!$A$13:$F$21, D$1, FALSE)</f>
        <v>MC 176 C</v>
      </c>
      <c r="E24" s="72">
        <f>VLOOKUP($B$24,Overview!$A$13:$F$21, E$1, FALSE)</f>
        <v>43502</v>
      </c>
      <c r="F24" s="71" t="str">
        <f>VLOOKUP($B$24,Overview!$A$13:$F$21, F$1, FALSE)</f>
        <v>3:15pm</v>
      </c>
      <c r="G24" s="71"/>
    </row>
    <row r="25" spans="1:7" x14ac:dyDescent="0.25">
      <c r="A25" s="74"/>
      <c r="B25" s="71" t="s">
        <v>93</v>
      </c>
      <c r="C25" s="71" t="str">
        <f>VLOOKUP($B$25,Overview!$A$23:$F$31, C$1, FALSE)</f>
        <v>Test taking</v>
      </c>
      <c r="D25" s="71" t="str">
        <f>VLOOKUP($B$25,Overview!$A$23:$F$31, D$1, FALSE)</f>
        <v>MC 174A</v>
      </c>
      <c r="E25" s="72">
        <f>VLOOKUP($B$25,Overview!$A$23:$F$31, E$1, FALSE)</f>
        <v>43509</v>
      </c>
      <c r="F25" s="71" t="str">
        <f>VLOOKUP($B$25,Overview!$A$23:$F$31, F$1, FALSE)</f>
        <v>3:15pm</v>
      </c>
      <c r="G25" s="71"/>
    </row>
    <row r="26" spans="1:7" x14ac:dyDescent="0.25">
      <c r="A26" s="74"/>
      <c r="B26" s="71" t="s">
        <v>93</v>
      </c>
      <c r="C26" s="71" t="str">
        <f>VLOOKUP($B$26,Overview!$A$33:$F$39,C$1, FALSE)</f>
        <v>Creating a learning environment</v>
      </c>
      <c r="D26" s="71" t="str">
        <f>VLOOKUP($B$26,Overview!$A$33:$F$39,D$1, FALSE)</f>
        <v>MC 174  A</v>
      </c>
      <c r="E26" s="72">
        <f>VLOOKUP($B$26,Overview!$A$33:$F$39,E$1, FALSE)</f>
        <v>43516</v>
      </c>
      <c r="F26" s="71" t="str">
        <f>VLOOKUP($B$26,Overview!$A$33:$F$39,F$1, FALSE)</f>
        <v>3:15pm</v>
      </c>
      <c r="G26" s="71"/>
    </row>
    <row r="27" spans="1:7" x14ac:dyDescent="0.25">
      <c r="A27" s="74"/>
      <c r="B27" s="71" t="s">
        <v>93</v>
      </c>
      <c r="C27" s="71" t="str">
        <f>VLOOKUP($B$27,Overview!$A$41:$F$49, C$1, FALSE)</f>
        <v>Getting the most out of class</v>
      </c>
      <c r="D27" s="71" t="str">
        <f>VLOOKUP($B$27,Overview!$A$41:$F$49, D$1, FALSE)</f>
        <v>MC 174 A</v>
      </c>
      <c r="E27" s="72">
        <f>VLOOKUP($B$27,Overview!$A$41:$F$49, E$1, FALSE)</f>
        <v>43523</v>
      </c>
      <c r="F27" s="71" t="str">
        <f>VLOOKUP($B$27,Overview!$A$41:$F$49, F$1, FALSE)</f>
        <v>3:15pm</v>
      </c>
      <c r="G27" s="71"/>
    </row>
    <row r="28" spans="1:7" x14ac:dyDescent="0.25">
      <c r="A28" s="74"/>
      <c r="B28" s="71" t="s">
        <v>93</v>
      </c>
      <c r="C28" s="71" t="str">
        <f>VLOOKUP($B$28,Overview!$A$51:$F$59, C$1, FALSE)</f>
        <v>Creating a learning environment</v>
      </c>
      <c r="D28" s="71" t="str">
        <f>VLOOKUP($B$28,Overview!$A$51:$F$59, D$1, FALSE)</f>
        <v>MC 174 A</v>
      </c>
      <c r="E28" s="72">
        <f>VLOOKUP($B$28,Overview!$A$51:$F$59, E$1, FALSE)</f>
        <v>43530</v>
      </c>
      <c r="F28" s="71" t="str">
        <f>VLOOKUP($B$28,Overview!$A$51:$F$59, F$1, FALSE)</f>
        <v>3:15pm</v>
      </c>
      <c r="G28" s="71"/>
    </row>
    <row r="29" spans="1:7" x14ac:dyDescent="0.25">
      <c r="A29" s="74"/>
      <c r="B29" s="71" t="s">
        <v>93</v>
      </c>
      <c r="C29" s="71" t="str">
        <f>VLOOKUP($B$29,Overview!$A$61:$F$69, C$1, FALSE)</f>
        <v>Patterns for academic success</v>
      </c>
      <c r="D29" s="71" t="str">
        <f>VLOOKUP($B$29,Overview!$A$61:$F$69, D$1, FALSE)</f>
        <v>MC 174 A</v>
      </c>
      <c r="E29" s="72">
        <f>VLOOKUP($B$29,Overview!$A$61:$F$69, E$1, FALSE)</f>
        <v>43537</v>
      </c>
      <c r="F29" s="71" t="str">
        <f>VLOOKUP($B$29,Overview!$A$61:$F$69, F$1, FALSE)</f>
        <v>3:15pm</v>
      </c>
      <c r="G29" s="71"/>
    </row>
    <row r="30" spans="1:7" x14ac:dyDescent="0.25">
      <c r="A30" s="74"/>
      <c r="B30" s="71" t="s">
        <v>93</v>
      </c>
      <c r="C30" s="71" t="str">
        <f>VLOOKUP($B$30,Overview!$A$71:$F$79, C$1, FALSE)</f>
        <v>Getting the most out of class</v>
      </c>
      <c r="D30" s="71" t="str">
        <f>VLOOKUP($B$30,Overview!$A$71:$F$79, D$1, FALSE)</f>
        <v>MC 174 A</v>
      </c>
      <c r="E30" s="72">
        <f>VLOOKUP($B$30,Overview!$A$71:$F$79, E$1, FALSE)</f>
        <v>43544</v>
      </c>
      <c r="F30" s="71" t="str">
        <f>VLOOKUP($B$30,Overview!$A$71:$F$79, F$1, FALSE)</f>
        <v>3:15pm</v>
      </c>
      <c r="G30" s="71"/>
    </row>
    <row r="31" spans="1:7" x14ac:dyDescent="0.25">
      <c r="A31" s="75"/>
      <c r="B31" s="71" t="s">
        <v>93</v>
      </c>
      <c r="C31" s="71" t="str">
        <f>VLOOKUP($B$31,Overview!$A$81:$F$89, C$1, FALSE)</f>
        <v>Test taking</v>
      </c>
      <c r="D31" s="71" t="str">
        <f>VLOOKUP($B$31,Overview!$A$81:$F$89, D$1, FALSE)</f>
        <v>MC 174 A</v>
      </c>
      <c r="E31" s="72">
        <f>VLOOKUP($B$31,Overview!$A$81:$F$89, E$1, FALSE)</f>
        <v>43551</v>
      </c>
      <c r="F31" s="71" t="str">
        <f>VLOOKUP($B$31,Overview!$A$81:$F$89, F$1, FALSE)</f>
        <v>3:15pm</v>
      </c>
      <c r="G31" s="71"/>
    </row>
    <row r="32" spans="1:7" x14ac:dyDescent="0.25">
      <c r="A32" s="76"/>
      <c r="B32" s="77"/>
      <c r="C32" s="77"/>
      <c r="D32" s="77"/>
      <c r="E32" s="77"/>
      <c r="F32" s="77"/>
      <c r="G32" s="78"/>
    </row>
    <row r="33" spans="1:7" x14ac:dyDescent="0.25">
      <c r="A33" s="73"/>
      <c r="B33" s="71" t="s">
        <v>94</v>
      </c>
      <c r="C33" s="71" t="str">
        <f>VLOOKUP($B$33,Overview!$A$3:$F$11, C$1, FALSE)</f>
        <v>Managing your money</v>
      </c>
      <c r="D33" s="71" t="str">
        <f>VLOOKUP($B$33,Overview!$A$3:$F$11, D$1, FALSE)</f>
        <v>MC 176 C</v>
      </c>
      <c r="E33" s="72">
        <f>VLOOKUP($B$33,Overview!$A$3:$F$11, E$1, FALSE)</f>
        <v>43495</v>
      </c>
      <c r="F33" s="71" t="str">
        <f>VLOOKUP($B$33,Overview!$A$3:$F$11, F$1, FALSE)</f>
        <v>7pm</v>
      </c>
      <c r="G33" s="71"/>
    </row>
    <row r="34" spans="1:7" x14ac:dyDescent="0.25">
      <c r="A34" s="74"/>
      <c r="B34" s="71" t="s">
        <v>94</v>
      </c>
      <c r="C34" s="71" t="str">
        <f>VLOOKUP($B$34,Overview!$A$13:$F$21, C$1, FALSE)</f>
        <v>Saving</v>
      </c>
      <c r="D34" s="71" t="str">
        <f>VLOOKUP($B$34,Overview!$A$13:$F$21, D$1, FALSE)</f>
        <v>MC 176 B</v>
      </c>
      <c r="E34" s="72">
        <f>VLOOKUP($B$34,Overview!$A$13:$F$21, E$1, FALSE)</f>
        <v>43502</v>
      </c>
      <c r="F34" s="71" t="str">
        <f>VLOOKUP($B$34,Overview!$A$13:$F$21, F$1, FALSE)</f>
        <v>7pm</v>
      </c>
      <c r="G34" s="71"/>
    </row>
    <row r="35" spans="1:7" x14ac:dyDescent="0.25">
      <c r="A35" s="74"/>
      <c r="B35" s="71" t="s">
        <v>94</v>
      </c>
      <c r="C35" s="71" t="str">
        <f>VLOOKUP($B$35,Overview!$A$23:$F$31, C$1, FALSE)</f>
        <v>Debt Management</v>
      </c>
      <c r="D35" s="71" t="str">
        <f>VLOOKUP($B$35,Overview!$A$23:$F$31, D$1, FALSE)</f>
        <v>MC 174 A</v>
      </c>
      <c r="E35" s="72">
        <f>VLOOKUP($B$35,Overview!$A$23:$F$31, E$1, FALSE)</f>
        <v>43509</v>
      </c>
      <c r="F35" s="71" t="str">
        <f>VLOOKUP($B$35,Overview!$A$23:$F$31, F$1, FALSE)</f>
        <v>7pm</v>
      </c>
      <c r="G35" s="71"/>
    </row>
    <row r="36" spans="1:7" x14ac:dyDescent="0.25">
      <c r="A36" s="74"/>
      <c r="B36" s="71" t="s">
        <v>94</v>
      </c>
      <c r="C36" s="71" t="str">
        <f>VLOOKUP($B$36,Overview!$A$33:$F$39,C$1, FALSE)</f>
        <v>Managing your money</v>
      </c>
      <c r="D36" s="71" t="str">
        <f>VLOOKUP($B$36,Overview!$A$33:$F$39,D$1, FALSE)</f>
        <v>MC 174 A</v>
      </c>
      <c r="E36" s="72">
        <f>VLOOKUP($B$36,Overview!$A$33:$F$39,E$1, FALSE)</f>
        <v>43516</v>
      </c>
      <c r="F36" s="71" t="str">
        <f>VLOOKUP($B$36,Overview!$A$33:$F$39,F$1, FALSE)</f>
        <v>7pm</v>
      </c>
      <c r="G36" s="71"/>
    </row>
    <row r="37" spans="1:7" x14ac:dyDescent="0.25">
      <c r="A37" s="74"/>
      <c r="B37" s="71" t="s">
        <v>94</v>
      </c>
      <c r="C37" s="71" t="str">
        <f>VLOOKUP($B$37,Overview!$A$41:$F$49, C$1, FALSE)</f>
        <v xml:space="preserve">Savings </v>
      </c>
      <c r="D37" s="71" t="str">
        <f>VLOOKUP($B$37,Overview!$A$41:$F$49, D$1, FALSE)</f>
        <v>MC 174 A</v>
      </c>
      <c r="E37" s="72">
        <f>VLOOKUP($B$37,Overview!$A$41:$F$49, E$1, FALSE)</f>
        <v>43523</v>
      </c>
      <c r="F37" s="71" t="str">
        <f>VLOOKUP($B$37,Overview!$A$41:$F$49, F$1, FALSE)</f>
        <v>7pm</v>
      </c>
      <c r="G37" s="71"/>
    </row>
    <row r="38" spans="1:7" x14ac:dyDescent="0.25">
      <c r="A38" s="74"/>
      <c r="B38" s="71" t="s">
        <v>94</v>
      </c>
      <c r="C38" s="71" t="str">
        <f>VLOOKUP($B$38,Overview!$A$51:$F$59, C$1, FALSE)</f>
        <v>International Students</v>
      </c>
      <c r="D38" s="71" t="str">
        <f>VLOOKUP($B$38,Overview!$A$51:$F$59, D$1, FALSE)</f>
        <v>MC 174 A</v>
      </c>
      <c r="E38" s="72">
        <f>VLOOKUP($B$38,Overview!$A$51:$F$59, E$1, FALSE)</f>
        <v>43530</v>
      </c>
      <c r="F38" s="71" t="str">
        <f>VLOOKUP($B$38,Overview!$A$51:$F$59, F$1, FALSE)</f>
        <v>7pm</v>
      </c>
      <c r="G38" s="71"/>
    </row>
    <row r="39" spans="1:7" x14ac:dyDescent="0.25">
      <c r="A39" s="74"/>
      <c r="B39" s="71" t="s">
        <v>94</v>
      </c>
      <c r="C39" s="71" t="str">
        <f>VLOOKUP($B$39,Overview!$A$61:$F$69, C$1, FALSE)</f>
        <v>Managing your money</v>
      </c>
      <c r="D39" s="71" t="str">
        <f>VLOOKUP($B$39,Overview!$A$61:$F$69, D$1, FALSE)</f>
        <v>MC 174 A</v>
      </c>
      <c r="E39" s="72">
        <f>VLOOKUP($B$39,Overview!$A$61:$F$69, E$1, FALSE)</f>
        <v>43537</v>
      </c>
      <c r="F39" s="71" t="str">
        <f>VLOOKUP($B$39,Overview!$A$61:$F$69, F$1, FALSE)</f>
        <v>7pm</v>
      </c>
      <c r="G39" s="71"/>
    </row>
    <row r="40" spans="1:7" x14ac:dyDescent="0.25">
      <c r="A40" s="74"/>
      <c r="B40" s="71" t="s">
        <v>94</v>
      </c>
      <c r="C40" s="71" t="str">
        <f>VLOOKUP($B$40,Overview!$A$71:$F$79, C$1, FALSE)</f>
        <v>Debt Management</v>
      </c>
      <c r="D40" s="71" t="str">
        <f>VLOOKUP($B$40,Overview!$A$71:$F$79, D$1, FALSE)</f>
        <v>MC 174 A</v>
      </c>
      <c r="E40" s="72">
        <f>VLOOKUP($B$40,Overview!$A$71:$F$79, E$1, FALSE)</f>
        <v>43544</v>
      </c>
      <c r="F40" s="71" t="str">
        <f>VLOOKUP($B$40,Overview!$A$71:$F$79, F$1, FALSE)</f>
        <v>7pm</v>
      </c>
      <c r="G40" s="71"/>
    </row>
    <row r="41" spans="1:7" x14ac:dyDescent="0.25">
      <c r="A41" s="75"/>
      <c r="B41" s="71" t="s">
        <v>94</v>
      </c>
      <c r="C41" s="71" t="str">
        <f>VLOOKUP($B$41,Overview!$A$81:$F$89, C$1, FALSE)</f>
        <v>Budgeting</v>
      </c>
      <c r="D41" s="71" t="str">
        <f>VLOOKUP($B$41,Overview!$A$81:$F$89, D$1, FALSE)</f>
        <v>MC 174 A</v>
      </c>
      <c r="E41" s="72">
        <f>VLOOKUP($B$41,Overview!$A$81:$F$89, E$1, FALSE)</f>
        <v>43551</v>
      </c>
      <c r="F41" s="71" t="str">
        <f>VLOOKUP($B$41,Overview!$A$81:$F$89, F$1, FALSE)</f>
        <v>7pm</v>
      </c>
      <c r="G41" s="71"/>
    </row>
    <row r="42" spans="1:7" x14ac:dyDescent="0.25">
      <c r="A42" s="76"/>
      <c r="B42" s="77"/>
      <c r="C42" s="77"/>
      <c r="D42" s="77"/>
      <c r="E42" s="77"/>
      <c r="F42" s="77"/>
      <c r="G42" s="78"/>
    </row>
    <row r="43" spans="1:7" x14ac:dyDescent="0.25">
      <c r="A43" s="73"/>
      <c r="B43" s="71" t="s">
        <v>95</v>
      </c>
      <c r="C43" s="71" t="str">
        <f>VLOOKUP($B$43,Overview!$A$3:$F$11, C$1, FALSE)</f>
        <v>Maximize your time: Focus Funnel</v>
      </c>
      <c r="D43" s="71" t="str">
        <f>VLOOKUP($B$43,Overview!$A$3:$F$11, D$1, FALSE)</f>
        <v>MC 176 C</v>
      </c>
      <c r="E43" s="72">
        <f>VLOOKUP($B$43,Overview!$A$3:$F$11, E$1, FALSE)</f>
        <v>43496</v>
      </c>
      <c r="F43" s="71" t="str">
        <f>VLOOKUP($B$43,Overview!$A$3:$F$11, F$1, FALSE)</f>
        <v>9am</v>
      </c>
      <c r="G43" s="71"/>
    </row>
    <row r="44" spans="1:7" x14ac:dyDescent="0.25">
      <c r="A44" s="74"/>
      <c r="B44" s="71" t="s">
        <v>95</v>
      </c>
      <c r="C44" s="71" t="str">
        <f>VLOOKUP($B$44, Overview!$A$13:$F$21,C$1, FALSE)</f>
        <v>Decision making 8 wastes</v>
      </c>
      <c r="D44" s="71" t="str">
        <f>VLOOKUP($B$44,Overview!$A$13:$F$21, D$1, FALSE)</f>
        <v>MC 176 A</v>
      </c>
      <c r="E44" s="72">
        <f>VLOOKUP($B$44,Overview!$A$13:$F$21, E$1, FALSE)</f>
        <v>43503</v>
      </c>
      <c r="F44" s="71" t="str">
        <f>VLOOKUP($B$44,Overview!$A$13:$F$21, F$1, FALSE)</f>
        <v>9am</v>
      </c>
      <c r="G44" s="71"/>
    </row>
    <row r="45" spans="1:7" x14ac:dyDescent="0.25">
      <c r="A45" s="74"/>
      <c r="B45" s="71" t="s">
        <v>95</v>
      </c>
      <c r="C45" s="71" t="str">
        <f>VLOOKUP($B$45,Overview!$A$23:$F$31, C$1, FALSE)</f>
        <v>Maximize your time: RAC method</v>
      </c>
      <c r="D45" s="71" t="str">
        <f>VLOOKUP($B$45,Overview!$A$23:$F$31, D$1, FALSE)</f>
        <v>MC 176 C</v>
      </c>
      <c r="E45" s="72">
        <f>VLOOKUP($B$45,Overview!$A$23:$F$31, E$1, FALSE)</f>
        <v>43510</v>
      </c>
      <c r="F45" s="71" t="str">
        <f>VLOOKUP($B$45,Overview!$A$23:$F$31, F$1, FALSE)</f>
        <v>9am</v>
      </c>
      <c r="G45" s="71"/>
    </row>
    <row r="46" spans="1:7" x14ac:dyDescent="0.25">
      <c r="A46" s="74"/>
      <c r="B46" s="71" t="s">
        <v>95</v>
      </c>
      <c r="C46" s="71" t="str">
        <f>VLOOKUP($B$46,Overview!$A$33:$F$39,C$1, FALSE)</f>
        <v>Maximize your time: Focus Funnel</v>
      </c>
      <c r="D46" s="71" t="str">
        <f>VLOOKUP($B$46,Overview!$A$33:$F$39,D$1, FALSE)</f>
        <v>MC 176 B</v>
      </c>
      <c r="E46" s="72">
        <f>VLOOKUP($B$46,Overview!$A$33:$F$39,E$1, FALSE)</f>
        <v>43517</v>
      </c>
      <c r="F46" s="71" t="str">
        <f>VLOOKUP($B$46,Overview!$A$33:$F$39,F$1, FALSE)</f>
        <v>9am</v>
      </c>
      <c r="G46" s="71"/>
    </row>
    <row r="47" spans="1:7" x14ac:dyDescent="0.25">
      <c r="A47" s="74"/>
      <c r="B47" s="71" t="s">
        <v>95</v>
      </c>
      <c r="C47" s="71" t="str">
        <f>VLOOKUP($B$47,Overview!$A$41:$F$49, C$1, FALSE)</f>
        <v>Decision Making- Pugh Matrix</v>
      </c>
      <c r="D47" s="71" t="str">
        <f>VLOOKUP($B$47,Overview!$A$41:$F$49, D$1, FALSE)</f>
        <v>MC 176 C</v>
      </c>
      <c r="E47" s="72">
        <f>VLOOKUP($B$47,Overview!$A$41:$F$49, E$1, FALSE)</f>
        <v>43524</v>
      </c>
      <c r="F47" s="71" t="str">
        <f>VLOOKUP($B$47,Overview!$A$41:$F$49, F$1, FALSE)</f>
        <v>9am</v>
      </c>
      <c r="G47" s="71"/>
    </row>
    <row r="48" spans="1:7" x14ac:dyDescent="0.25">
      <c r="A48" s="74"/>
      <c r="B48" s="71" t="s">
        <v>95</v>
      </c>
      <c r="C48" s="71" t="str">
        <f>VLOOKUP($B$48,Overview!$A$51:$F$59, C$1, FALSE)</f>
        <v>Maximize your time: Focus Funnel</v>
      </c>
      <c r="D48" s="71" t="str">
        <f>VLOOKUP($B$48,Overview!$A$51:$F$59, D$1, FALSE)</f>
        <v>MC 176 C</v>
      </c>
      <c r="E48" s="72">
        <f>VLOOKUP($B$48,Overview!$A$51:$F$59, E$1, FALSE)</f>
        <v>43531</v>
      </c>
      <c r="F48" s="71" t="str">
        <f>VLOOKUP($B$48,Overview!$A$51:$F$59, F$1, FALSE)</f>
        <v>9am</v>
      </c>
      <c r="G48" s="71"/>
    </row>
    <row r="49" spans="1:7" x14ac:dyDescent="0.25">
      <c r="A49" s="74"/>
      <c r="B49" s="71" t="s">
        <v>95</v>
      </c>
      <c r="C49" s="71" t="str">
        <f>VLOOKUP($B$49,Overview!$A$61:$F$69, C$1, FALSE)</f>
        <v>Problem Solving</v>
      </c>
      <c r="D49" s="71" t="str">
        <f>VLOOKUP($B$49,Overview!$A$61:$F$69, D$1, FALSE)</f>
        <v>MC 176 C</v>
      </c>
      <c r="E49" s="72">
        <f>VLOOKUP($B$49,Overview!$A$61:$F$69, E$1, FALSE)</f>
        <v>43538</v>
      </c>
      <c r="F49" s="71" t="str">
        <f>VLOOKUP($B$49,Overview!$A$61:$F$69, F$1, FALSE)</f>
        <v>9am</v>
      </c>
      <c r="G49" s="71"/>
    </row>
    <row r="50" spans="1:7" x14ac:dyDescent="0.25">
      <c r="A50" s="74"/>
      <c r="B50" s="71" t="s">
        <v>95</v>
      </c>
      <c r="C50" s="71" t="str">
        <f>VLOOKUP($B$50,Overview!$A$71:$F$79, C$1, FALSE)</f>
        <v>Maximize your time: RAC method</v>
      </c>
      <c r="D50" s="71" t="str">
        <f>VLOOKUP($B$50,Overview!$A$71:$F$79, D$1, FALSE)</f>
        <v>MC 176 C</v>
      </c>
      <c r="E50" s="72">
        <f>VLOOKUP($B$50,Overview!$A$71:$F$79, E$1, FALSE)</f>
        <v>43545</v>
      </c>
      <c r="F50" s="71" t="str">
        <f>VLOOKUP($B$50,Overview!$A$71:$F$79, F$1, FALSE)</f>
        <v>9am</v>
      </c>
      <c r="G50" s="71"/>
    </row>
    <row r="51" spans="1:7" x14ac:dyDescent="0.25">
      <c r="A51" s="75"/>
      <c r="B51" s="71" t="s">
        <v>95</v>
      </c>
      <c r="C51" s="71" t="str">
        <f>VLOOKUP($B$51,Overview!$A$81:$F$89, C$1, FALSE)</f>
        <v>Decision Making- Standard Work</v>
      </c>
      <c r="D51" s="71" t="str">
        <f>VLOOKUP($B$51,Overview!$A$81:$F$89, D$1, FALSE)</f>
        <v>MC 176 C</v>
      </c>
      <c r="E51" s="72">
        <f>VLOOKUP($B$51,Overview!$A$81:$F$89, E$1, FALSE)</f>
        <v>43552</v>
      </c>
      <c r="F51" s="71" t="str">
        <f>VLOOKUP($B$51,Overview!$A$81:$F$89, F$1, FALSE)</f>
        <v>9am</v>
      </c>
      <c r="G51" s="71"/>
    </row>
    <row r="52" spans="1:7" x14ac:dyDescent="0.25">
      <c r="A52" s="76"/>
      <c r="B52" s="77"/>
      <c r="C52" s="77"/>
      <c r="D52" s="77"/>
      <c r="E52" s="77"/>
      <c r="F52" s="77"/>
      <c r="G52" s="78"/>
    </row>
    <row r="53" spans="1:7" x14ac:dyDescent="0.25">
      <c r="A53" s="73"/>
      <c r="B53" s="71" t="s">
        <v>96</v>
      </c>
      <c r="C53" s="71" t="str">
        <f>VLOOKUP($B$53,Overview!$A$3:$F$11, C$1, FALSE)</f>
        <v xml:space="preserve">Planning and goal achievement </v>
      </c>
      <c r="D53" s="71" t="str">
        <f>VLOOKUP($B$53,Overview!$A$3:$F$11, D$1, FALSE)</f>
        <v>MC 176 B</v>
      </c>
      <c r="E53" s="72">
        <f>VLOOKUP($B$53,Overview!$A$3:$F$11, E$1, FALSE)</f>
        <v>43496</v>
      </c>
      <c r="F53" s="71" t="str">
        <f>VLOOKUP($B$53,Overview!$A$3:$F$11, F$1, FALSE)</f>
        <v>2pm</v>
      </c>
      <c r="G53" s="71"/>
    </row>
    <row r="54" spans="1:7" x14ac:dyDescent="0.25">
      <c r="A54" s="74"/>
      <c r="B54" s="71" t="s">
        <v>96</v>
      </c>
      <c r="C54" s="71" t="str">
        <f>VLOOKUP($B$54,Overview!$A$13:$F$21, C$1, FALSE)</f>
        <v>Problem Solving</v>
      </c>
      <c r="D54" s="71" t="str">
        <f>VLOOKUP($B$54,Overview!$A$13:$F$21, D$1, FALSE)</f>
        <v xml:space="preserve">MC 176 B </v>
      </c>
      <c r="E54" s="72">
        <f>VLOOKUP($B$54,Overview!$A$13:$F$21, E$1, FALSE)</f>
        <v>43503</v>
      </c>
      <c r="F54" s="71" t="str">
        <f>VLOOKUP($B$54,Overview!$A$13:$F$21, F$1, FALSE)</f>
        <v>2pm</v>
      </c>
      <c r="G54" s="71"/>
    </row>
    <row r="55" spans="1:7" x14ac:dyDescent="0.25">
      <c r="A55" s="74"/>
      <c r="B55" s="71" t="s">
        <v>96</v>
      </c>
      <c r="C55" s="71" t="str">
        <f>VLOOKUP($B$55,Overview!$A$23:$F$31, C$1, FALSE)</f>
        <v>Strengthening Roomate Relationships and Friendships</v>
      </c>
      <c r="D55" s="71" t="str">
        <f>VLOOKUP($B$55,Overview!$A$23:$F$31, D$1, FALSE)</f>
        <v>MC 176 B</v>
      </c>
      <c r="E55" s="72">
        <f>VLOOKUP($B$55,Overview!$A$23:$F$31, E$1, FALSE)</f>
        <v>43510</v>
      </c>
      <c r="F55" s="71" t="str">
        <f>VLOOKUP($B$55,Overview!$A$23:$F$31, F$1, FALSE)</f>
        <v>2pm</v>
      </c>
      <c r="G55" s="71"/>
    </row>
    <row r="56" spans="1:7" x14ac:dyDescent="0.25">
      <c r="A56" s="74"/>
      <c r="B56" s="71" t="s">
        <v>96</v>
      </c>
      <c r="C56" s="71" t="e">
        <f>VLOOKUP($B$56,Overview!$A$33:$F$39,C$1, FALSE)</f>
        <v>#N/A</v>
      </c>
      <c r="D56" s="71" t="e">
        <f>VLOOKUP($B$56,Overview!$A$33:$F$39,D$1, FALSE)</f>
        <v>#N/A</v>
      </c>
      <c r="E56" s="72" t="e">
        <f>VLOOKUP($B$56,Overview!$A$33:$F$39,E$1, FALSE)</f>
        <v>#N/A</v>
      </c>
      <c r="F56" s="71" t="e">
        <f>VLOOKUP($B$56,Overview!$A$33:$F$39,F$1, FALSE)</f>
        <v>#N/A</v>
      </c>
      <c r="G56" s="71"/>
    </row>
    <row r="57" spans="1:7" x14ac:dyDescent="0.25">
      <c r="A57" s="74"/>
      <c r="B57" s="71" t="s">
        <v>96</v>
      </c>
      <c r="C57" s="71" t="str">
        <f>VLOOKUP($B$57,Overview!$A$41:$F$49, C$1, FALSE)</f>
        <v>Decision Making- Standard Work</v>
      </c>
      <c r="D57" s="71" t="str">
        <f>VLOOKUP($B$57,Overview!$A$41:$F$49, D$1, FALSE)</f>
        <v>MC 176 B</v>
      </c>
      <c r="E57" s="72">
        <f>VLOOKUP($B$57,Overview!$A$41:$F$49, E$1, FALSE)</f>
        <v>43524</v>
      </c>
      <c r="F57" s="71" t="str">
        <f>VLOOKUP($B$57,Overview!$A$41:$F$49, F$1, FALSE)</f>
        <v>2pm</v>
      </c>
      <c r="G57" s="71"/>
    </row>
    <row r="58" spans="1:7" x14ac:dyDescent="0.25">
      <c r="A58" s="74"/>
      <c r="B58" s="71" t="s">
        <v>96</v>
      </c>
      <c r="C58" s="71" t="str">
        <f>VLOOKUP($B$58,Overview!$A$51:$F$59, C$1, FALSE)</f>
        <v>Decision making 8 wastes</v>
      </c>
      <c r="D58" s="71" t="str">
        <f>VLOOKUP($B$58,Overview!$A$51:$F$59, D$1, FALSE)</f>
        <v>MC 176 B</v>
      </c>
      <c r="E58" s="72">
        <f>VLOOKUP($B$58,Overview!$A$51:$F$59, E$1, FALSE)</f>
        <v>43531</v>
      </c>
      <c r="F58" s="71" t="str">
        <f>VLOOKUP($B$58,Overview!$A$51:$F$59, F$1, FALSE)</f>
        <v>2pm</v>
      </c>
      <c r="G58" s="71"/>
    </row>
    <row r="59" spans="1:7" x14ac:dyDescent="0.25">
      <c r="A59" s="74"/>
      <c r="B59" s="71" t="s">
        <v>96</v>
      </c>
      <c r="C59" s="71" t="str">
        <f>VLOOKUP($B$59,Overview!$A$61:$F$69, C$1, FALSE)</f>
        <v>Decision Making- 7S</v>
      </c>
      <c r="D59" s="71" t="str">
        <f>VLOOKUP($B$59,Overview!$A$61:$F$69, D$1, FALSE)</f>
        <v>MC 176 B</v>
      </c>
      <c r="E59" s="72">
        <f>VLOOKUP($B$59,Overview!$A$61:$F$69, E$1, FALSE)</f>
        <v>43538</v>
      </c>
      <c r="F59" s="71" t="str">
        <f>VLOOKUP($B$59,Overview!$A$61:$F$69, F$1, FALSE)</f>
        <v>2pm</v>
      </c>
      <c r="G59" s="71"/>
    </row>
    <row r="60" spans="1:7" x14ac:dyDescent="0.25">
      <c r="A60" s="74"/>
      <c r="B60" s="71" t="s">
        <v>96</v>
      </c>
      <c r="C60" s="71" t="str">
        <f>VLOOKUP($B$60,Overview!$A$71:$F$79, C$1, FALSE)</f>
        <v>Decision Making- Pugh Matrix</v>
      </c>
      <c r="D60" s="71" t="str">
        <f>VLOOKUP($B$60,Overview!$A$71:$F$79, D$1, FALSE)</f>
        <v>MC 176 B</v>
      </c>
      <c r="E60" s="72">
        <f>VLOOKUP($B$60,Overview!$A$71:$F$79, E$1, FALSE)</f>
        <v>43545</v>
      </c>
      <c r="F60" s="71" t="str">
        <f>VLOOKUP($B$60,Overview!$A$71:$F$79, F$1, FALSE)</f>
        <v>2pm</v>
      </c>
      <c r="G60" s="71"/>
    </row>
    <row r="61" spans="1:7" x14ac:dyDescent="0.25">
      <c r="A61" s="75"/>
      <c r="B61" s="71" t="s">
        <v>96</v>
      </c>
      <c r="C61" s="71" t="str">
        <f>VLOOKUP($B$61,Overview!$A$81:$F$89, C$1, FALSE)</f>
        <v>Problem Solving</v>
      </c>
      <c r="D61" s="71" t="str">
        <f>VLOOKUP($B$61,Overview!$A$81:$F$89, D$1, FALSE)</f>
        <v>MC 176 B</v>
      </c>
      <c r="E61" s="72">
        <f>VLOOKUP($B$61,Overview!$A$81:$F$89, E$1, FALSE)</f>
        <v>43552</v>
      </c>
      <c r="F61" s="71" t="str">
        <f>VLOOKUP($B$61,Overview!$A$81:$F$89, F$1, FALSE)</f>
        <v>2pm</v>
      </c>
      <c r="G61" s="71"/>
    </row>
    <row r="62" spans="1:7" x14ac:dyDescent="0.25">
      <c r="A62" s="76"/>
      <c r="B62" s="77"/>
      <c r="C62" s="77"/>
      <c r="D62" s="77"/>
      <c r="E62" s="77"/>
      <c r="F62" s="77"/>
      <c r="G62" s="78"/>
    </row>
    <row r="63" spans="1:7" x14ac:dyDescent="0.25">
      <c r="A63" s="73"/>
      <c r="B63" s="71" t="s">
        <v>97</v>
      </c>
      <c r="C63" s="71" t="str">
        <f>VLOOKUP($B$63,Overview!$A$3:$F$11, C$1, FALSE)</f>
        <v>Goal Setting</v>
      </c>
      <c r="D63" s="71" t="str">
        <f>VLOOKUP($B$63,Overview!$A$3:$F$11, D$1, FALSE)</f>
        <v>MC 174 A</v>
      </c>
      <c r="E63" s="72">
        <f>VLOOKUP($B$63,Overview!$A$3:$F$11, E$1, FALSE)</f>
        <v>43496</v>
      </c>
      <c r="F63" s="71" t="str">
        <f>VLOOKUP($B$63,Overview!$A$3:$F$11, F$1, FALSE)</f>
        <v>7pm</v>
      </c>
      <c r="G63" s="71"/>
    </row>
    <row r="64" spans="1:7" x14ac:dyDescent="0.25">
      <c r="A64" s="74"/>
      <c r="B64" s="71" t="s">
        <v>97</v>
      </c>
      <c r="C64" s="71" t="str">
        <f>VLOOKUP($B$64,Overview!$A$13:$F$21, C$1, FALSE)</f>
        <v>The power of yet</v>
      </c>
      <c r="D64" s="71" t="str">
        <f>VLOOKUP($B$64,Overview!$A$13:$F$21, D$1, FALSE)</f>
        <v>MC 174 A</v>
      </c>
      <c r="E64" s="72">
        <f>VLOOKUP($B$64,Overview!$A$13:$F$21, E$1, FALSE)</f>
        <v>43503</v>
      </c>
      <c r="F64" s="71" t="str">
        <f>VLOOKUP($B$64,Overview!$A$13:$F$21, F$1, FALSE)</f>
        <v>7pm</v>
      </c>
      <c r="G64" s="71"/>
    </row>
    <row r="65" spans="1:7" x14ac:dyDescent="0.25">
      <c r="A65" s="74"/>
      <c r="B65" s="71" t="s">
        <v>97</v>
      </c>
      <c r="C65" s="71" t="str">
        <f>VLOOKUP($B$65,Overview!$A$23:$F$31, C$1, FALSE)</f>
        <v>Elevating your mindset</v>
      </c>
      <c r="D65" s="71" t="str">
        <f>VLOOKUP($B$65,Overview!$A$23:$F$31, D$1, FALSE)</f>
        <v>MC 174 A</v>
      </c>
      <c r="E65" s="72">
        <f>VLOOKUP($B$65,Overview!$A$23:$F$31, E$1, FALSE)</f>
        <v>43510</v>
      </c>
      <c r="F65" s="71" t="str">
        <f>VLOOKUP($B$65,Overview!$A$23:$F$31, F$1, FALSE)</f>
        <v>7pm</v>
      </c>
      <c r="G65" s="71"/>
    </row>
    <row r="66" spans="1:7" x14ac:dyDescent="0.25">
      <c r="A66" s="74"/>
      <c r="B66" s="71" t="s">
        <v>97</v>
      </c>
      <c r="C66" s="71" t="str">
        <f>VLOOKUP($B$66,Overview!$A$33:$F$39,C$1, FALSE)</f>
        <v>Goal Setting</v>
      </c>
      <c r="D66" s="71" t="str">
        <f>VLOOKUP($B$66,Overview!$A$33:$F$39,D$1, FALSE)</f>
        <v>MC 174 A</v>
      </c>
      <c r="E66" s="72">
        <f>VLOOKUP($B$66,Overview!$A$33:$F$39,E$1, FALSE)</f>
        <v>43517</v>
      </c>
      <c r="F66" s="71" t="str">
        <f>VLOOKUP($B$66,Overview!$A$33:$F$39,F$1, FALSE)</f>
        <v>7pm</v>
      </c>
      <c r="G66" s="71"/>
    </row>
    <row r="67" spans="1:7" x14ac:dyDescent="0.25">
      <c r="A67" s="74"/>
      <c r="B67" s="71" t="s">
        <v>97</v>
      </c>
      <c r="C67" s="71" t="str">
        <f>VLOOKUP($B$67,Overview!$A$41:$F$49, C$1, FALSE)</f>
        <v>Choosing a Growth Mindset</v>
      </c>
      <c r="D67" s="71" t="str">
        <f>VLOOKUP($B$67,Overview!$A$41:$F$49, D$1, FALSE)</f>
        <v>MC 174  A</v>
      </c>
      <c r="E67" s="72">
        <f>VLOOKUP($B$67,Overview!$A$41:$F$49, E$1, FALSE)</f>
        <v>43524</v>
      </c>
      <c r="F67" s="71" t="str">
        <f>VLOOKUP($B$67,Overview!$A$41:$F$49, F$1, FALSE)</f>
        <v>7pm</v>
      </c>
      <c r="G67" s="71"/>
    </row>
    <row r="68" spans="1:7" x14ac:dyDescent="0.25">
      <c r="A68" s="74"/>
      <c r="B68" s="71" t="s">
        <v>97</v>
      </c>
      <c r="C68" s="71" t="str">
        <f>VLOOKUP($B$68,Overview!$A$51:$F$59, C$1, FALSE)</f>
        <v>The power of yet</v>
      </c>
      <c r="D68" s="71" t="str">
        <f>VLOOKUP($B$68,Overview!$A$51:$F$59, D$1, FALSE)</f>
        <v>MC 174 A</v>
      </c>
      <c r="E68" s="72">
        <f>VLOOKUP($B$68,Overview!$A$51:$F$59, E$1, FALSE)</f>
        <v>43531</v>
      </c>
      <c r="F68" s="71" t="str">
        <f>VLOOKUP($B$68,Overview!$A$51:$F$59, F$1, FALSE)</f>
        <v>7pm</v>
      </c>
      <c r="G68" s="71"/>
    </row>
    <row r="69" spans="1:7" x14ac:dyDescent="0.25">
      <c r="A69" s="74"/>
      <c r="B69" s="71" t="s">
        <v>97</v>
      </c>
      <c r="C69" s="71" t="str">
        <f>VLOOKUP($B$69,Overview!$A$61:$F$69, C$1, FALSE)</f>
        <v>Goal Setting</v>
      </c>
      <c r="D69" s="71" t="str">
        <f>VLOOKUP($B$69,Overview!$A$61:$F$69, D$1, FALSE)</f>
        <v>MC 174 A</v>
      </c>
      <c r="E69" s="72">
        <f>VLOOKUP($B$69,Overview!$A$61:$F$69, E$1, FALSE)</f>
        <v>43538</v>
      </c>
      <c r="F69" s="71" t="str">
        <f>VLOOKUP($B$69,Overview!$A$61:$F$69, F$1, FALSE)</f>
        <v>7pm</v>
      </c>
      <c r="G69" s="71"/>
    </row>
    <row r="70" spans="1:7" x14ac:dyDescent="0.25">
      <c r="A70" s="74"/>
      <c r="B70" s="71" t="s">
        <v>97</v>
      </c>
      <c r="C70" s="71" t="str">
        <f>VLOOKUP($B$70,Overview!$A$71:$F$79, C$1, FALSE)</f>
        <v>Elevating your mindset</v>
      </c>
      <c r="D70" s="71" t="str">
        <f>VLOOKUP($B$70,Overview!$A$71:$F$79, D$1, FALSE)</f>
        <v>MC 174 A</v>
      </c>
      <c r="E70" s="72">
        <f>VLOOKUP($B$70,Overview!$A$71:$F$79, E$1, FALSE)</f>
        <v>43545</v>
      </c>
      <c r="F70" s="71" t="str">
        <f>VLOOKUP($B$70,Overview!$A$71:$F$79, F$1, FALSE)</f>
        <v>7pm</v>
      </c>
      <c r="G70" s="71"/>
    </row>
    <row r="71" spans="1:7" x14ac:dyDescent="0.25">
      <c r="A71" s="75"/>
      <c r="B71" s="71" t="s">
        <v>97</v>
      </c>
      <c r="C71" s="71" t="str">
        <f>VLOOKUP($B$71,Overview!$A$81:$F$89, C$1, FALSE)</f>
        <v>Goal Setting</v>
      </c>
      <c r="D71" s="71" t="str">
        <f>VLOOKUP($B$71,Overview!$A$81:$F$89, D$1, FALSE)</f>
        <v>MC 174 A</v>
      </c>
      <c r="E71" s="72">
        <f>VLOOKUP($B$71,Overview!$A$81:$F$89, E$1, FALSE)</f>
        <v>43552</v>
      </c>
      <c r="F71" s="71" t="str">
        <f>VLOOKUP($B$71,Overview!$A$81:$F$89, F$1, FALSE)</f>
        <v>7pm</v>
      </c>
      <c r="G71" s="71"/>
    </row>
    <row r="72" spans="1:7" x14ac:dyDescent="0.25">
      <c r="A72" s="76"/>
      <c r="B72" s="77"/>
      <c r="C72" s="77"/>
      <c r="D72" s="77"/>
      <c r="E72" s="77"/>
      <c r="F72" s="77"/>
      <c r="G72" s="78"/>
    </row>
    <row r="73" spans="1:7" x14ac:dyDescent="0.25">
      <c r="A73" s="73"/>
      <c r="B73" s="71" t="s">
        <v>90</v>
      </c>
      <c r="C73" s="71" t="str">
        <f>VLOOKUP($B$73,Overview!$A$3:$F$11, C$1, FALSE)</f>
        <v>Budgeting</v>
      </c>
      <c r="D73" s="71" t="str">
        <f>VLOOKUP($B$13,Overview!$A$3:$F$11, D$1, FALSE)</f>
        <v>MC 176 D</v>
      </c>
      <c r="E73" s="72">
        <f>VLOOKUP($B$13,Overview!$A$3:$F$11, E$1, FALSE)</f>
        <v>43495</v>
      </c>
      <c r="F73" s="71" t="str">
        <f>VLOOKUP($B$13,Overview!$A$3:$F$11, F$1, FALSE)</f>
        <v>10am</v>
      </c>
      <c r="G73" s="71"/>
    </row>
    <row r="74" spans="1:7" x14ac:dyDescent="0.25">
      <c r="A74" s="74"/>
      <c r="B74" s="71" t="s">
        <v>90</v>
      </c>
      <c r="C74" s="71" t="str">
        <f>VLOOKUP($B$74,Overview!$A$13:$F$21, C$1, FALSE)</f>
        <v>International Students</v>
      </c>
      <c r="D74" s="71" t="str">
        <f>VLOOKUP($B$14,Overview!$A$13:$F$21, D$1, FALSE)</f>
        <v>MC 176 C</v>
      </c>
      <c r="E74" s="72">
        <f>VLOOKUP($B$14,Overview!$A$13:$F$21, E$1, FALSE)</f>
        <v>43502</v>
      </c>
      <c r="F74" s="71" t="str">
        <f>VLOOKUP($B$14,Overview!$A$13:$F$21, F$1, FALSE)</f>
        <v>10am</v>
      </c>
      <c r="G74" s="71"/>
    </row>
    <row r="75" spans="1:7" x14ac:dyDescent="0.25">
      <c r="A75" s="74"/>
      <c r="B75" s="71" t="s">
        <v>90</v>
      </c>
      <c r="C75" s="71" t="str">
        <f>VLOOKUP($B$75,Overview!$A$23:$F$31, C$1, FALSE)</f>
        <v xml:space="preserve">Budgeting </v>
      </c>
      <c r="D75" s="71" t="str">
        <f>VLOOKUP($B$15,Overview!$A$23:$F$31, D$1, FALSE)</f>
        <v>MC 176 B</v>
      </c>
      <c r="E75" s="72">
        <f>VLOOKUP($B$15,Overview!$A$23:$F$31, E$1, FALSE)</f>
        <v>43509</v>
      </c>
      <c r="F75" s="71" t="str">
        <f>VLOOKUP($B$15,Overview!$A$23:$F$31, F$1, FALSE)</f>
        <v>10am</v>
      </c>
      <c r="G75" s="71"/>
    </row>
    <row r="76" spans="1:7" x14ac:dyDescent="0.25">
      <c r="A76" s="74"/>
      <c r="B76" s="71" t="s">
        <v>90</v>
      </c>
      <c r="C76" s="71" t="str">
        <f>VLOOKUP($B$76,Overview!$A$33:$F$39,C$1, FALSE)</f>
        <v>Budgeting</v>
      </c>
      <c r="D76" s="71" t="str">
        <f>VLOOKUP($B$16,Overview!$A$33:$F$39,D$1, FALSE)</f>
        <v>MC 176 B</v>
      </c>
      <c r="E76" s="72">
        <f>VLOOKUP($B$16,Overview!$A$33:$F$39,E$1, FALSE)</f>
        <v>43516</v>
      </c>
      <c r="F76" s="71" t="str">
        <f>VLOOKUP($B$16,Overview!$A$33:$F$39,F$1, FALSE)</f>
        <v>10am</v>
      </c>
      <c r="G76" s="71"/>
    </row>
    <row r="77" spans="1:7" x14ac:dyDescent="0.25">
      <c r="A77" s="74"/>
      <c r="B77" s="71" t="s">
        <v>90</v>
      </c>
      <c r="C77" s="71" t="str">
        <f>VLOOKUP($B$77,Overview!$A$41:$F$49, C$1, FALSE)</f>
        <v>Debt management</v>
      </c>
      <c r="D77" s="71" t="str">
        <f>VLOOKUP($B$17,Overview!$A$41:$F$49, D$1, FALSE)</f>
        <v>MC 176 B</v>
      </c>
      <c r="E77" s="72">
        <f>VLOOKUP($B$17,Overview!$A$41:$F$49, E$1, FALSE)</f>
        <v>43523</v>
      </c>
      <c r="F77" s="71" t="str">
        <f>VLOOKUP($B$17,Overview!$A$41:$F$49, F$1, FALSE)</f>
        <v>10am</v>
      </c>
      <c r="G77" s="71"/>
    </row>
    <row r="78" spans="1:7" x14ac:dyDescent="0.25">
      <c r="A78" s="74"/>
      <c r="B78" s="71" t="s">
        <v>90</v>
      </c>
      <c r="C78" s="71" t="str">
        <f>VLOOKUP($B$78,Overview!$A$51:$F$59, C$1, FALSE)</f>
        <v xml:space="preserve">Budgeting </v>
      </c>
      <c r="D78" s="71" t="str">
        <f>VLOOKUP($B$18,Overview!$A$51:$F$59, D$1, FALSE)</f>
        <v>MC 176 B</v>
      </c>
      <c r="E78" s="72">
        <f>VLOOKUP($B$18,Overview!$A$51:$F$59, E$1, FALSE)</f>
        <v>43530</v>
      </c>
      <c r="F78" s="71" t="str">
        <f>VLOOKUP($B$18,Overview!$A$51:$F$59, F$1, FALSE)</f>
        <v>10am</v>
      </c>
      <c r="G78" s="71"/>
    </row>
    <row r="79" spans="1:7" x14ac:dyDescent="0.25">
      <c r="A79" s="74"/>
      <c r="B79" s="71" t="s">
        <v>90</v>
      </c>
      <c r="C79" s="71" t="str">
        <f>VLOOKUP($B$79,Overview!$A$61:$F$69, C$1, FALSE)</f>
        <v>Saving</v>
      </c>
      <c r="D79" s="71" t="str">
        <f>VLOOKUP($B$19,Overview!$A$61:$F$69, D$1, FALSE)</f>
        <v>MC 176 B</v>
      </c>
      <c r="E79" s="72">
        <f>VLOOKUP($B$19,Overview!$A$61:$F$69, E$1, FALSE)</f>
        <v>43537</v>
      </c>
      <c r="F79" s="71" t="str">
        <f>VLOOKUP($B$19,Overview!$A$61:$F$69, F$1, FALSE)</f>
        <v>10am</v>
      </c>
      <c r="G79" s="71"/>
    </row>
    <row r="80" spans="1:7" x14ac:dyDescent="0.25">
      <c r="A80" s="74"/>
      <c r="B80" s="71" t="s">
        <v>90</v>
      </c>
      <c r="C80" s="71" t="str">
        <f>VLOOKUP($B$80,Overview!$A$71:$F$79, C$1, FALSE)</f>
        <v>Giving back while in school</v>
      </c>
      <c r="D80" s="71" t="str">
        <f>VLOOKUP($B$20,Overview!$A$71:$F$79, D$1, FALSE)</f>
        <v>MC 176 B</v>
      </c>
      <c r="E80" s="72">
        <f>VLOOKUP($B$20,Overview!$A$71:$F$79, E$1, FALSE)</f>
        <v>43544</v>
      </c>
      <c r="F80" s="71" t="str">
        <f>VLOOKUP($B$20,Overview!$A$71:$F$79, F$1, FALSE)</f>
        <v>10am</v>
      </c>
      <c r="G80" s="71"/>
    </row>
    <row r="81" spans="1:7" x14ac:dyDescent="0.25">
      <c r="A81" s="75"/>
      <c r="B81" s="71" t="s">
        <v>90</v>
      </c>
      <c r="C81" s="71" t="str">
        <f>VLOOKUP($B$81,Overview!$A$81:$F$89, C$1, FALSE)</f>
        <v>Managing your money</v>
      </c>
      <c r="D81" s="71" t="str">
        <f>VLOOKUP($B$21,Overview!$A$81:$F$89, D$1, FALSE)</f>
        <v>MC 176 B</v>
      </c>
      <c r="E81" s="72">
        <f>VLOOKUP($B$21,Overview!$A$81:$F$89, E$1, FALSE)</f>
        <v>43551</v>
      </c>
      <c r="F81" s="71" t="str">
        <f>VLOOKUP($B$21,Overview!$A$81:$F$89, F$1, FALSE)</f>
        <v>10am</v>
      </c>
      <c r="G81" s="71"/>
    </row>
  </sheetData>
  <mergeCells count="15">
    <mergeCell ref="A3:A11"/>
    <mergeCell ref="A13:A21"/>
    <mergeCell ref="A23:A31"/>
    <mergeCell ref="A33:A41"/>
    <mergeCell ref="A43:A51"/>
    <mergeCell ref="A63:A71"/>
    <mergeCell ref="A73:A81"/>
    <mergeCell ref="A12:G12"/>
    <mergeCell ref="A22:G22"/>
    <mergeCell ref="A32:G32"/>
    <mergeCell ref="A42:G42"/>
    <mergeCell ref="A52:G52"/>
    <mergeCell ref="A62:G62"/>
    <mergeCell ref="A72:G72"/>
    <mergeCell ref="A53:A6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9"/>
  <sheetViews>
    <sheetView workbookViewId="0">
      <selection activeCell="A21" sqref="A21"/>
    </sheetView>
  </sheetViews>
  <sheetFormatPr defaultRowHeight="15" x14ac:dyDescent="0.25"/>
  <cols>
    <col min="1" max="1" width="15.75" style="18" customWidth="1"/>
    <col min="2" max="2" width="9.125" style="18"/>
    <col min="3" max="3" width="9.75" style="18" bestFit="1" customWidth="1"/>
    <col min="4" max="4" width="15.75" style="18" customWidth="1"/>
    <col min="5" max="5" width="96.75" customWidth="1"/>
    <col min="6" max="6" width="14.875" style="18" customWidth="1"/>
  </cols>
  <sheetData>
    <row r="1" spans="1:8" ht="18.75" x14ac:dyDescent="0.25">
      <c r="A1" s="61" t="s">
        <v>98</v>
      </c>
      <c r="B1" s="61" t="s">
        <v>54</v>
      </c>
      <c r="C1" s="61" t="s">
        <v>55</v>
      </c>
      <c r="D1" s="61" t="s">
        <v>56</v>
      </c>
      <c r="E1" s="61" t="s">
        <v>57</v>
      </c>
      <c r="F1" s="61" t="s">
        <v>58</v>
      </c>
    </row>
    <row r="2" spans="1:8" ht="40.5" customHeight="1" thickBot="1" x14ac:dyDescent="0.3">
      <c r="A2" s="51"/>
      <c r="B2" s="50" t="s">
        <v>35</v>
      </c>
      <c r="C2" s="51"/>
      <c r="D2" s="51"/>
      <c r="E2" s="51"/>
      <c r="F2" s="52"/>
    </row>
    <row r="3" spans="1:8" ht="58.5" customHeight="1" thickBot="1" x14ac:dyDescent="0.3">
      <c r="A3" s="62" t="s">
        <v>91</v>
      </c>
      <c r="B3" s="54" t="s">
        <v>59</v>
      </c>
      <c r="C3" s="55">
        <v>43494</v>
      </c>
      <c r="D3" s="54" t="s">
        <v>60</v>
      </c>
      <c r="E3" s="64" t="str">
        <f>HLOOKUP($B$2, Workshops!$B$19:$K$28,Workshops!L20,FALSE)</f>
        <v>Rebuilding your testimony</v>
      </c>
      <c r="F3" s="62" t="s">
        <v>63</v>
      </c>
      <c r="G3" s="63"/>
    </row>
    <row r="4" spans="1:8" ht="78" customHeight="1" thickBot="1" x14ac:dyDescent="0.3">
      <c r="A4" s="62" t="s">
        <v>92</v>
      </c>
      <c r="B4" s="54" t="s">
        <v>61</v>
      </c>
      <c r="C4" s="55">
        <v>43495</v>
      </c>
      <c r="D4" s="54" t="s">
        <v>62</v>
      </c>
      <c r="E4" s="64" t="str">
        <f>HLOOKUP($B$2, Workshops!$B$19:$K$28,Workshops!L21,FALSE)</f>
        <v>Elevating your mindset</v>
      </c>
      <c r="F4" s="62" t="s">
        <v>65</v>
      </c>
      <c r="G4" s="63"/>
    </row>
    <row r="5" spans="1:8" ht="61.5" customHeight="1" thickBot="1" x14ac:dyDescent="0.3">
      <c r="A5" s="62" t="s">
        <v>93</v>
      </c>
      <c r="B5" s="54" t="s">
        <v>61</v>
      </c>
      <c r="C5" s="55">
        <v>43495</v>
      </c>
      <c r="D5" s="54" t="s">
        <v>64</v>
      </c>
      <c r="E5" s="64" t="str">
        <f>HLOOKUP($B$2, Workshops!$B$19:$K$28,Workshops!L22,FALSE)</f>
        <v>Creating a learning environment</v>
      </c>
      <c r="F5" s="62" t="s">
        <v>63</v>
      </c>
      <c r="G5" s="63"/>
    </row>
    <row r="6" spans="1:8" ht="69" customHeight="1" thickBot="1" x14ac:dyDescent="0.3">
      <c r="A6" s="62" t="s">
        <v>94</v>
      </c>
      <c r="B6" s="54" t="s">
        <v>61</v>
      </c>
      <c r="C6" s="55">
        <v>43495</v>
      </c>
      <c r="D6" s="54" t="s">
        <v>66</v>
      </c>
      <c r="E6" s="64" t="str">
        <f>HLOOKUP($B$2, Workshops!$B$19:$K$28,Workshops!L23,FALSE)</f>
        <v>Managing your money</v>
      </c>
      <c r="F6" s="62" t="s">
        <v>63</v>
      </c>
      <c r="G6" s="63"/>
    </row>
    <row r="7" spans="1:8" ht="54" customHeight="1" thickBot="1" x14ac:dyDescent="0.3">
      <c r="A7" s="62" t="s">
        <v>95</v>
      </c>
      <c r="B7" s="54" t="s">
        <v>67</v>
      </c>
      <c r="C7" s="55">
        <v>43496</v>
      </c>
      <c r="D7" s="54" t="s">
        <v>68</v>
      </c>
      <c r="E7" s="64" t="str">
        <f>HLOOKUP($B$2, Workshops!$B$19:$K$28,Workshops!L24,FALSE)</f>
        <v>Maximize your time: Focus Funnel</v>
      </c>
      <c r="F7" s="62" t="s">
        <v>63</v>
      </c>
      <c r="G7" s="63"/>
    </row>
    <row r="8" spans="1:8" ht="77.25" customHeight="1" thickBot="1" x14ac:dyDescent="0.3">
      <c r="A8" s="62" t="s">
        <v>96</v>
      </c>
      <c r="B8" s="54" t="s">
        <v>67</v>
      </c>
      <c r="C8" s="55">
        <v>43496</v>
      </c>
      <c r="D8" s="54" t="s">
        <v>69</v>
      </c>
      <c r="E8" s="64" t="str">
        <f>HLOOKUP($B$2, Workshops!$B$19:$K$28,Workshops!L25,FALSE)</f>
        <v xml:space="preserve">Planning and goal achievement </v>
      </c>
      <c r="F8" s="62" t="s">
        <v>70</v>
      </c>
      <c r="G8" s="63"/>
    </row>
    <row r="9" spans="1:8" ht="75.75" customHeight="1" thickBot="1" x14ac:dyDescent="0.3">
      <c r="A9" s="62" t="s">
        <v>99</v>
      </c>
      <c r="B9" s="54" t="s">
        <v>67</v>
      </c>
      <c r="C9" s="55">
        <v>43496</v>
      </c>
      <c r="D9" s="54" t="s">
        <v>69</v>
      </c>
      <c r="E9" s="64">
        <f>HLOOKUP($B$2, Workshops!$B$19:$K$28,Workshops!L26,FALSE)</f>
        <v>0</v>
      </c>
      <c r="F9" s="62" t="s">
        <v>63</v>
      </c>
      <c r="G9" s="63"/>
    </row>
    <row r="10" spans="1:8" ht="63.75" customHeight="1" thickBot="1" x14ac:dyDescent="0.3">
      <c r="A10" s="62" t="s">
        <v>97</v>
      </c>
      <c r="B10" s="54" t="s">
        <v>67</v>
      </c>
      <c r="C10" s="55">
        <v>43496</v>
      </c>
      <c r="D10" s="54" t="s">
        <v>66</v>
      </c>
      <c r="E10" s="64" t="str">
        <f>HLOOKUP($B$2, Workshops!$B$19:$K$28,Workshops!L27,FALSE)</f>
        <v>Goal Setting</v>
      </c>
      <c r="F10" s="62" t="s">
        <v>71</v>
      </c>
      <c r="G10" s="63"/>
    </row>
    <row r="11" spans="1:8" ht="49.5" customHeight="1" x14ac:dyDescent="0.25">
      <c r="A11" s="62" t="s">
        <v>90</v>
      </c>
      <c r="B11" s="54" t="s">
        <v>72</v>
      </c>
      <c r="C11" s="55">
        <v>43497</v>
      </c>
      <c r="D11" s="54" t="s">
        <v>62</v>
      </c>
      <c r="E11" s="64" t="str">
        <f>HLOOKUP($B$2, Workshops!$B$19:$K$28,Workshops!L28,FALSE)</f>
        <v>Budgeting</v>
      </c>
      <c r="F11" s="62" t="s">
        <v>70</v>
      </c>
      <c r="G11" s="63"/>
    </row>
    <row r="12" spans="1:8" ht="49.5" customHeight="1" x14ac:dyDescent="0.25">
      <c r="A12" s="51"/>
      <c r="B12" s="50" t="s">
        <v>84</v>
      </c>
      <c r="C12" s="51"/>
      <c r="D12" s="51"/>
      <c r="E12" s="51"/>
      <c r="F12" s="52"/>
      <c r="H12" s="18"/>
    </row>
    <row r="13" spans="1:8" ht="156.75" customHeight="1" x14ac:dyDescent="0.25">
      <c r="A13" s="57" t="s">
        <v>91</v>
      </c>
      <c r="B13" s="57" t="s">
        <v>59</v>
      </c>
      <c r="C13" s="58">
        <v>43501</v>
      </c>
      <c r="D13" s="57" t="s">
        <v>60</v>
      </c>
      <c r="E13" s="59" t="str">
        <f>HLOOKUP($B$12, Workshops!$B$19:$K$28,Workshops!L20,FALSE)</f>
        <v>Applying the Atonement to your life</v>
      </c>
      <c r="F13" s="57" t="s">
        <v>65</v>
      </c>
    </row>
    <row r="14" spans="1:8" ht="68.25" customHeight="1" x14ac:dyDescent="0.25">
      <c r="A14" s="57" t="s">
        <v>92</v>
      </c>
      <c r="B14" s="57" t="s">
        <v>61</v>
      </c>
      <c r="C14" s="58">
        <v>43502</v>
      </c>
      <c r="D14" s="57" t="s">
        <v>62</v>
      </c>
      <c r="E14" s="59" t="str">
        <f>HLOOKUP($B$12, Workshops!$B$19:$K$28,Workshops!L21,FALSE)</f>
        <v>Choosing a Growth Mindset</v>
      </c>
      <c r="F14" s="57" t="s">
        <v>63</v>
      </c>
    </row>
    <row r="15" spans="1:8" ht="97.5" customHeight="1" x14ac:dyDescent="0.25">
      <c r="A15" s="57" t="s">
        <v>93</v>
      </c>
      <c r="B15" s="57" t="s">
        <v>61</v>
      </c>
      <c r="C15" s="58">
        <v>43502</v>
      </c>
      <c r="D15" s="57" t="s">
        <v>64</v>
      </c>
      <c r="E15" s="59" t="str">
        <f>HLOOKUP($B$12, Workshops!$B$19:$K$28,Workshops!L22,FALSE)</f>
        <v>Getting the most out of class</v>
      </c>
      <c r="F15" s="57" t="s">
        <v>63</v>
      </c>
    </row>
    <row r="16" spans="1:8" ht="80.25" customHeight="1" x14ac:dyDescent="0.25">
      <c r="A16" s="57" t="s">
        <v>94</v>
      </c>
      <c r="B16" s="57" t="s">
        <v>61</v>
      </c>
      <c r="C16" s="58">
        <v>43502</v>
      </c>
      <c r="D16" s="57" t="s">
        <v>66</v>
      </c>
      <c r="E16" s="59" t="str">
        <f>HLOOKUP($B$12, Workshops!$B$19:$K$28,Workshops!L23,FALSE)</f>
        <v>Saving</v>
      </c>
      <c r="F16" s="57" t="s">
        <v>70</v>
      </c>
    </row>
    <row r="17" spans="1:6" ht="102" customHeight="1" x14ac:dyDescent="0.25">
      <c r="A17" s="57" t="s">
        <v>95</v>
      </c>
      <c r="B17" s="57" t="s">
        <v>73</v>
      </c>
      <c r="C17" s="58">
        <v>43503</v>
      </c>
      <c r="D17" s="60" t="s">
        <v>68</v>
      </c>
      <c r="E17" s="59" t="str">
        <f>HLOOKUP($B$12, Workshops!$B$19:$K$28,Workshops!L24,FALSE)</f>
        <v>Decision making 8 wastes</v>
      </c>
      <c r="F17" s="57" t="s">
        <v>74</v>
      </c>
    </row>
    <row r="18" spans="1:6" ht="84" customHeight="1" x14ac:dyDescent="0.25">
      <c r="A18" s="57" t="s">
        <v>96</v>
      </c>
      <c r="B18" s="57" t="s">
        <v>73</v>
      </c>
      <c r="C18" s="58">
        <v>43503</v>
      </c>
      <c r="D18" s="57" t="s">
        <v>69</v>
      </c>
      <c r="E18" s="59" t="str">
        <f>HLOOKUP($B$12, Workshops!$B$19:$K$28,Workshops!L25,FALSE)</f>
        <v>Problem Solving</v>
      </c>
      <c r="F18" s="57" t="s">
        <v>75</v>
      </c>
    </row>
    <row r="19" spans="1:6" ht="71.25" customHeight="1" x14ac:dyDescent="0.25">
      <c r="A19" s="57" t="s">
        <v>99</v>
      </c>
      <c r="B19" s="57" t="s">
        <v>73</v>
      </c>
      <c r="C19" s="58">
        <v>43503</v>
      </c>
      <c r="D19" s="57" t="s">
        <v>69</v>
      </c>
      <c r="E19" s="59">
        <f>HLOOKUP($B$12, Workshops!$B$19:$K$28,Workshops!L26,FALSE)</f>
        <v>0</v>
      </c>
      <c r="F19" s="57" t="s">
        <v>63</v>
      </c>
    </row>
    <row r="20" spans="1:6" ht="48.75" customHeight="1" x14ac:dyDescent="0.25">
      <c r="A20" s="57" t="s">
        <v>97</v>
      </c>
      <c r="B20" s="57" t="s">
        <v>73</v>
      </c>
      <c r="C20" s="58">
        <v>43503</v>
      </c>
      <c r="D20" s="57" t="s">
        <v>66</v>
      </c>
      <c r="E20" s="59" t="str">
        <f>HLOOKUP($B$12, Workshops!$B$19:$K$28,Workshops!L27,FALSE)</f>
        <v>The power of yet</v>
      </c>
      <c r="F20" s="57" t="s">
        <v>71</v>
      </c>
    </row>
    <row r="21" spans="1:6" ht="103.5" customHeight="1" x14ac:dyDescent="0.25">
      <c r="A21" s="57" t="s">
        <v>90</v>
      </c>
      <c r="B21" s="57" t="s">
        <v>72</v>
      </c>
      <c r="C21" s="58">
        <v>43504</v>
      </c>
      <c r="D21" s="57" t="s">
        <v>62</v>
      </c>
      <c r="E21" s="59" t="str">
        <f>HLOOKUP($B$12, Workshops!$B$19:$K$28,Workshops!L28,FALSE)</f>
        <v>International Students</v>
      </c>
      <c r="F21" s="57" t="s">
        <v>63</v>
      </c>
    </row>
    <row r="22" spans="1:6" ht="46.5" x14ac:dyDescent="0.25">
      <c r="A22" s="51"/>
      <c r="B22" s="50" t="s">
        <v>37</v>
      </c>
      <c r="C22" s="51"/>
      <c r="D22" s="51"/>
      <c r="E22" s="51"/>
      <c r="F22" s="52"/>
    </row>
    <row r="23" spans="1:6" ht="64.5" customHeight="1" x14ac:dyDescent="0.25">
      <c r="A23" s="54" t="s">
        <v>91</v>
      </c>
      <c r="B23" s="54" t="s">
        <v>59</v>
      </c>
      <c r="C23" s="55">
        <v>43508</v>
      </c>
      <c r="D23" s="54" t="s">
        <v>60</v>
      </c>
      <c r="E23" s="56" t="str">
        <f>HLOOKUP($B$22, Workshops!$B$19:$K$28,Workshops!L20,FALSE)</f>
        <v>Likening the scriptures</v>
      </c>
      <c r="F23" s="54" t="s">
        <v>76</v>
      </c>
    </row>
    <row r="24" spans="1:6" ht="84.75" customHeight="1" x14ac:dyDescent="0.25">
      <c r="A24" s="54" t="s">
        <v>92</v>
      </c>
      <c r="B24" s="54" t="s">
        <v>61</v>
      </c>
      <c r="C24" s="55">
        <v>43509</v>
      </c>
      <c r="D24" s="54" t="s">
        <v>62</v>
      </c>
      <c r="E24" s="56" t="str">
        <f>HLOOKUP($B$22, Workshops!$B$19:$K$28,Workshops!L21,FALSE)</f>
        <v>Effective Feedback</v>
      </c>
      <c r="F24" s="54" t="s">
        <v>70</v>
      </c>
    </row>
    <row r="25" spans="1:6" ht="56.25" customHeight="1" x14ac:dyDescent="0.25">
      <c r="A25" s="54" t="s">
        <v>93</v>
      </c>
      <c r="B25" s="54" t="s">
        <v>61</v>
      </c>
      <c r="C25" s="55">
        <v>43509</v>
      </c>
      <c r="D25" s="54" t="s">
        <v>64</v>
      </c>
      <c r="E25" s="56" t="str">
        <f>HLOOKUP($B$22, Workshops!$B$19:$K$28,Workshops!L22,FALSE)</f>
        <v>Test taking</v>
      </c>
      <c r="F25" s="54" t="s">
        <v>77</v>
      </c>
    </row>
    <row r="26" spans="1:6" ht="69" customHeight="1" x14ac:dyDescent="0.25">
      <c r="A26" s="54" t="s">
        <v>94</v>
      </c>
      <c r="B26" s="54" t="s">
        <v>61</v>
      </c>
      <c r="C26" s="55">
        <v>43509</v>
      </c>
      <c r="D26" s="54" t="s">
        <v>66</v>
      </c>
      <c r="E26" s="56" t="str">
        <f>HLOOKUP($B$22, Workshops!$B$19:$K$28,Workshops!L23,FALSE)</f>
        <v>Debt Management</v>
      </c>
      <c r="F26" s="54" t="s">
        <v>71</v>
      </c>
    </row>
    <row r="27" spans="1:6" ht="65.25" customHeight="1" x14ac:dyDescent="0.25">
      <c r="A27" s="54" t="s">
        <v>95</v>
      </c>
      <c r="B27" s="54" t="s">
        <v>67</v>
      </c>
      <c r="C27" s="55">
        <v>43510</v>
      </c>
      <c r="D27" s="54" t="s">
        <v>68</v>
      </c>
      <c r="E27" s="56" t="str">
        <f>HLOOKUP($B$22, Workshops!$B$19:$K$28,Workshops!L24,FALSE)</f>
        <v>Maximize your time: RAC method</v>
      </c>
      <c r="F27" s="54" t="s">
        <v>63</v>
      </c>
    </row>
    <row r="28" spans="1:6" ht="104.25" customHeight="1" x14ac:dyDescent="0.25">
      <c r="A28" s="54" t="s">
        <v>96</v>
      </c>
      <c r="B28" s="54" t="s">
        <v>67</v>
      </c>
      <c r="C28" s="55">
        <v>43510</v>
      </c>
      <c r="D28" s="54" t="s">
        <v>69</v>
      </c>
      <c r="E28" s="56" t="str">
        <f>HLOOKUP($B$22, Workshops!$B$19:$K$28,Workshops!L25,FALSE)</f>
        <v>Strengthening Roomate Relationships and Friendships</v>
      </c>
      <c r="F28" s="54" t="s">
        <v>70</v>
      </c>
    </row>
    <row r="29" spans="1:6" ht="78" customHeight="1" x14ac:dyDescent="0.25">
      <c r="A29" s="54" t="s">
        <v>99</v>
      </c>
      <c r="B29" s="54" t="s">
        <v>67</v>
      </c>
      <c r="C29" s="55">
        <v>43510</v>
      </c>
      <c r="D29" s="54" t="s">
        <v>69</v>
      </c>
      <c r="E29" s="56">
        <f>HLOOKUP($B$22, Workshops!$B$19:$K$28,Workshops!L26,FALSE)</f>
        <v>0</v>
      </c>
      <c r="F29" s="54" t="s">
        <v>63</v>
      </c>
    </row>
    <row r="30" spans="1:6" ht="50.25" customHeight="1" x14ac:dyDescent="0.25">
      <c r="A30" s="54" t="s">
        <v>97</v>
      </c>
      <c r="B30" s="54" t="s">
        <v>67</v>
      </c>
      <c r="C30" s="55">
        <v>43510</v>
      </c>
      <c r="D30" s="54" t="s">
        <v>66</v>
      </c>
      <c r="E30" s="56" t="str">
        <f>HLOOKUP($B$22, Workshops!$B$19:$K$28,Workshops!L27,FALSE)</f>
        <v>Elevating your mindset</v>
      </c>
      <c r="F30" s="54" t="s">
        <v>71</v>
      </c>
    </row>
    <row r="31" spans="1:6" ht="42" customHeight="1" x14ac:dyDescent="0.25">
      <c r="A31" s="54" t="s">
        <v>90</v>
      </c>
      <c r="B31" s="54" t="s">
        <v>72</v>
      </c>
      <c r="C31" s="55">
        <v>43511</v>
      </c>
      <c r="D31" s="54" t="s">
        <v>62</v>
      </c>
      <c r="E31" s="56" t="str">
        <f>HLOOKUP($B$22, Workshops!$B$19:$K$28,Workshops!L28,FALSE)</f>
        <v xml:space="preserve">Budgeting </v>
      </c>
      <c r="F31" s="54" t="s">
        <v>70</v>
      </c>
    </row>
    <row r="32" spans="1:6" ht="42" customHeight="1" x14ac:dyDescent="0.25">
      <c r="A32" s="51"/>
      <c r="B32" s="50" t="s">
        <v>38</v>
      </c>
      <c r="C32" s="51"/>
      <c r="D32" s="51"/>
      <c r="E32" s="51"/>
      <c r="F32" s="52"/>
    </row>
    <row r="33" spans="1:6" ht="84" customHeight="1" x14ac:dyDescent="0.25">
      <c r="A33" s="57" t="s">
        <v>91</v>
      </c>
      <c r="B33" s="57" t="s">
        <v>59</v>
      </c>
      <c r="C33" s="58">
        <v>43515</v>
      </c>
      <c r="D33" s="57" t="s">
        <v>60</v>
      </c>
      <c r="E33" s="59" t="s">
        <v>25</v>
      </c>
      <c r="F33" s="57" t="s">
        <v>76</v>
      </c>
    </row>
    <row r="34" spans="1:6" ht="59.25" customHeight="1" x14ac:dyDescent="0.25">
      <c r="A34" s="57" t="s">
        <v>92</v>
      </c>
      <c r="B34" s="57" t="s">
        <v>61</v>
      </c>
      <c r="C34" s="58">
        <v>43516</v>
      </c>
      <c r="D34" s="57" t="s">
        <v>62</v>
      </c>
      <c r="E34" s="57" t="s">
        <v>6</v>
      </c>
      <c r="F34" s="57" t="s">
        <v>70</v>
      </c>
    </row>
    <row r="35" spans="1:6" ht="66.75" customHeight="1" x14ac:dyDescent="0.25">
      <c r="A35" s="57" t="s">
        <v>93</v>
      </c>
      <c r="B35" s="57" t="s">
        <v>61</v>
      </c>
      <c r="C35" s="58">
        <v>43516</v>
      </c>
      <c r="D35" s="57" t="s">
        <v>64</v>
      </c>
      <c r="E35" s="57" t="s">
        <v>2</v>
      </c>
      <c r="F35" s="57" t="s">
        <v>78</v>
      </c>
    </row>
    <row r="36" spans="1:6" ht="68.25" customHeight="1" x14ac:dyDescent="0.25">
      <c r="A36" s="57" t="s">
        <v>94</v>
      </c>
      <c r="B36" s="57" t="s">
        <v>61</v>
      </c>
      <c r="C36" s="58">
        <v>43516</v>
      </c>
      <c r="D36" s="57" t="s">
        <v>66</v>
      </c>
      <c r="E36" s="57" t="s">
        <v>29</v>
      </c>
      <c r="F36" s="57" t="s">
        <v>71</v>
      </c>
    </row>
    <row r="37" spans="1:6" ht="48" customHeight="1" x14ac:dyDescent="0.25">
      <c r="A37" s="57" t="s">
        <v>95</v>
      </c>
      <c r="B37" s="57" t="s">
        <v>67</v>
      </c>
      <c r="C37" s="58">
        <v>43517</v>
      </c>
      <c r="D37" s="57" t="s">
        <v>68</v>
      </c>
      <c r="E37" s="57" t="s">
        <v>17</v>
      </c>
      <c r="F37" s="57" t="s">
        <v>70</v>
      </c>
    </row>
    <row r="38" spans="1:6" ht="81" customHeight="1" x14ac:dyDescent="0.25">
      <c r="A38" s="57" t="s">
        <v>97</v>
      </c>
      <c r="B38" s="57" t="s">
        <v>67</v>
      </c>
      <c r="C38" s="58">
        <v>43517</v>
      </c>
      <c r="D38" s="57" t="s">
        <v>66</v>
      </c>
      <c r="E38" s="57" t="s">
        <v>44</v>
      </c>
      <c r="F38" s="57" t="s">
        <v>71</v>
      </c>
    </row>
    <row r="39" spans="1:6" ht="34.5" customHeight="1" x14ac:dyDescent="0.25">
      <c r="A39" s="57" t="s">
        <v>90</v>
      </c>
      <c r="B39" s="57" t="s">
        <v>72</v>
      </c>
      <c r="C39" s="58">
        <v>43518</v>
      </c>
      <c r="D39" s="57" t="s">
        <v>62</v>
      </c>
      <c r="E39" s="57" t="s">
        <v>30</v>
      </c>
      <c r="F39" s="57" t="s">
        <v>70</v>
      </c>
    </row>
    <row r="40" spans="1:6" s="53" customFormat="1" ht="46.5" x14ac:dyDescent="0.25">
      <c r="A40" s="51"/>
      <c r="B40" s="50" t="s">
        <v>39</v>
      </c>
      <c r="C40" s="51"/>
      <c r="D40" s="51"/>
      <c r="E40" s="51"/>
      <c r="F40" s="52"/>
    </row>
    <row r="41" spans="1:6" ht="41.25" customHeight="1" x14ac:dyDescent="0.25">
      <c r="A41" s="54" t="s">
        <v>91</v>
      </c>
      <c r="B41" s="54" t="s">
        <v>59</v>
      </c>
      <c r="C41" s="55">
        <v>43522</v>
      </c>
      <c r="D41" s="54" t="s">
        <v>60</v>
      </c>
      <c r="E41" s="56" t="str">
        <f>HLOOKUP($B$40, Workshops!$B$19:$K$28,Workshops!L20,FALSE)</f>
        <v>Rebuilding your testimony</v>
      </c>
      <c r="F41" s="54" t="s">
        <v>76</v>
      </c>
    </row>
    <row r="42" spans="1:6" ht="54" customHeight="1" x14ac:dyDescent="0.25">
      <c r="A42" s="54" t="s">
        <v>92</v>
      </c>
      <c r="B42" s="54" t="s">
        <v>61</v>
      </c>
      <c r="C42" s="55">
        <v>43523</v>
      </c>
      <c r="D42" s="54" t="s">
        <v>62</v>
      </c>
      <c r="E42" s="56" t="str">
        <f>HLOOKUP($B$40, Workshops!$B$19:$K$28,Workshops!L21,FALSE)</f>
        <v>Effective Feedback</v>
      </c>
      <c r="F42" s="54" t="s">
        <v>70</v>
      </c>
    </row>
    <row r="43" spans="1:6" ht="54" customHeight="1" x14ac:dyDescent="0.25">
      <c r="A43" s="54" t="s">
        <v>93</v>
      </c>
      <c r="B43" s="54" t="s">
        <v>61</v>
      </c>
      <c r="C43" s="55">
        <v>43523</v>
      </c>
      <c r="D43" s="54" t="s">
        <v>64</v>
      </c>
      <c r="E43" s="56" t="str">
        <f>HLOOKUP($B$40, Workshops!$B$19:$K$28,Workshops!L22,FALSE)</f>
        <v>Getting the most out of class</v>
      </c>
      <c r="F43" s="54" t="s">
        <v>71</v>
      </c>
    </row>
    <row r="44" spans="1:6" ht="90" customHeight="1" x14ac:dyDescent="0.25">
      <c r="A44" s="54" t="s">
        <v>94</v>
      </c>
      <c r="B44" s="54" t="s">
        <v>61</v>
      </c>
      <c r="C44" s="55">
        <v>43523</v>
      </c>
      <c r="D44" s="54" t="s">
        <v>66</v>
      </c>
      <c r="E44" s="56" t="str">
        <f>HLOOKUP($B$40, Workshops!$B$19:$K$28,Workshops!L23,FALSE)</f>
        <v xml:space="preserve">Savings </v>
      </c>
      <c r="F44" s="54" t="s">
        <v>71</v>
      </c>
    </row>
    <row r="45" spans="1:6" ht="37.5" customHeight="1" x14ac:dyDescent="0.25">
      <c r="A45" s="54" t="s">
        <v>95</v>
      </c>
      <c r="B45" s="54" t="s">
        <v>67</v>
      </c>
      <c r="C45" s="55">
        <v>43524</v>
      </c>
      <c r="D45" s="54" t="s">
        <v>68</v>
      </c>
      <c r="E45" s="56" t="str">
        <f>HLOOKUP($B$40, Workshops!$B$19:$K$28,Workshops!L24,FALSE)</f>
        <v>Decision Making- Pugh Matrix</v>
      </c>
      <c r="F45" s="54" t="s">
        <v>63</v>
      </c>
    </row>
    <row r="46" spans="1:6" ht="72" customHeight="1" x14ac:dyDescent="0.25">
      <c r="A46" s="54" t="s">
        <v>96</v>
      </c>
      <c r="B46" s="54" t="s">
        <v>67</v>
      </c>
      <c r="C46" s="55">
        <v>43524</v>
      </c>
      <c r="D46" s="54" t="s">
        <v>69</v>
      </c>
      <c r="E46" s="56" t="str">
        <f>HLOOKUP($B$40, Workshops!$B$19:$K$28,Workshops!L25,FALSE)</f>
        <v>Decision Making- Standard Work</v>
      </c>
      <c r="F46" s="54" t="s">
        <v>70</v>
      </c>
    </row>
    <row r="47" spans="1:6" ht="69.75" customHeight="1" x14ac:dyDescent="0.25">
      <c r="A47" s="54" t="s">
        <v>99</v>
      </c>
      <c r="B47" s="54" t="s">
        <v>67</v>
      </c>
      <c r="C47" s="55">
        <v>43524</v>
      </c>
      <c r="D47" s="54" t="s">
        <v>69</v>
      </c>
      <c r="E47" s="56">
        <f>HLOOKUP($B$40, Workshops!$B$19:$K$28,Workshops!L26,FALSE)</f>
        <v>0</v>
      </c>
      <c r="F47" s="54" t="s">
        <v>63</v>
      </c>
    </row>
    <row r="48" spans="1:6" ht="52.5" customHeight="1" x14ac:dyDescent="0.25">
      <c r="A48" s="54" t="s">
        <v>97</v>
      </c>
      <c r="B48" s="54" t="s">
        <v>67</v>
      </c>
      <c r="C48" s="55">
        <v>43524</v>
      </c>
      <c r="D48" s="54" t="s">
        <v>66</v>
      </c>
      <c r="E48" s="56" t="str">
        <f>HLOOKUP($B$40, Workshops!$B$19:$K$28,Workshops!L27,FALSE)</f>
        <v>Choosing a Growth Mindset</v>
      </c>
      <c r="F48" s="54" t="s">
        <v>78</v>
      </c>
    </row>
    <row r="49" spans="1:6" ht="61.5" customHeight="1" x14ac:dyDescent="0.25">
      <c r="A49" s="54" t="s">
        <v>90</v>
      </c>
      <c r="B49" s="54" t="s">
        <v>72</v>
      </c>
      <c r="C49" s="55">
        <v>43525</v>
      </c>
      <c r="D49" s="54" t="s">
        <v>62</v>
      </c>
      <c r="E49" s="56" t="str">
        <f>HLOOKUP($B$40, Workshops!$B$19:$K$28,Workshops!L28,FALSE)</f>
        <v>Debt management</v>
      </c>
      <c r="F49" s="54" t="s">
        <v>70</v>
      </c>
    </row>
    <row r="50" spans="1:6" ht="46.5" x14ac:dyDescent="0.25">
      <c r="A50" s="51"/>
      <c r="B50" s="50" t="s">
        <v>40</v>
      </c>
      <c r="C50" s="51"/>
      <c r="D50" s="51"/>
      <c r="E50" s="51"/>
      <c r="F50" s="52"/>
    </row>
    <row r="51" spans="1:6" ht="35.25" customHeight="1" x14ac:dyDescent="0.25">
      <c r="A51" s="57" t="s">
        <v>91</v>
      </c>
      <c r="B51" s="57" t="s">
        <v>59</v>
      </c>
      <c r="C51" s="58">
        <v>43529</v>
      </c>
      <c r="D51" s="57" t="s">
        <v>60</v>
      </c>
      <c r="E51" s="59" t="str">
        <f>HLOOKUP($B$50, Workshops!$B$19:$K$28,Workshops!L20,FALSE)</f>
        <v>Likening the scriptures</v>
      </c>
      <c r="F51" s="57" t="s">
        <v>76</v>
      </c>
    </row>
    <row r="52" spans="1:6" ht="64.5" customHeight="1" x14ac:dyDescent="0.25">
      <c r="A52" s="57" t="s">
        <v>92</v>
      </c>
      <c r="B52" s="57" t="s">
        <v>61</v>
      </c>
      <c r="C52" s="58">
        <v>43530</v>
      </c>
      <c r="D52" s="57" t="s">
        <v>62</v>
      </c>
      <c r="E52" s="59" t="str">
        <f>HLOOKUP($B$50, Workshops!$B$19:$K$28,Workshops!L21,FALSE)</f>
        <v>Elevating your mindset</v>
      </c>
      <c r="F52" s="57" t="s">
        <v>70</v>
      </c>
    </row>
    <row r="53" spans="1:6" ht="61.5" customHeight="1" x14ac:dyDescent="0.25">
      <c r="A53" s="57" t="s">
        <v>93</v>
      </c>
      <c r="B53" s="57" t="s">
        <v>61</v>
      </c>
      <c r="C53" s="58">
        <v>43530</v>
      </c>
      <c r="D53" s="57" t="s">
        <v>64</v>
      </c>
      <c r="E53" s="59" t="str">
        <f>HLOOKUP($B$50, Workshops!$B$19:$K$28,Workshops!L22,FALSE)</f>
        <v>Creating a learning environment</v>
      </c>
      <c r="F53" s="57" t="s">
        <v>71</v>
      </c>
    </row>
    <row r="54" spans="1:6" ht="45.75" customHeight="1" x14ac:dyDescent="0.25">
      <c r="A54" s="57" t="s">
        <v>94</v>
      </c>
      <c r="B54" s="57" t="s">
        <v>61</v>
      </c>
      <c r="C54" s="58">
        <v>43530</v>
      </c>
      <c r="D54" s="57" t="s">
        <v>66</v>
      </c>
      <c r="E54" s="59" t="str">
        <f>HLOOKUP($B$50, Workshops!$B$19:$K$28,Workshops!L23,FALSE)</f>
        <v>International Students</v>
      </c>
      <c r="F54" s="57" t="s">
        <v>71</v>
      </c>
    </row>
    <row r="55" spans="1:6" ht="64.5" customHeight="1" x14ac:dyDescent="0.25">
      <c r="A55" s="57" t="s">
        <v>95</v>
      </c>
      <c r="B55" s="57" t="s">
        <v>67</v>
      </c>
      <c r="C55" s="58">
        <v>43531</v>
      </c>
      <c r="D55" s="57" t="s">
        <v>68</v>
      </c>
      <c r="E55" s="59" t="str">
        <f>HLOOKUP($B$50, Workshops!$B$19:$K$28,Workshops!L24,FALSE)</f>
        <v>Maximize your time: Focus Funnel</v>
      </c>
      <c r="F55" s="57" t="s">
        <v>63</v>
      </c>
    </row>
    <row r="56" spans="1:6" ht="42" customHeight="1" x14ac:dyDescent="0.25">
      <c r="A56" s="57" t="s">
        <v>96</v>
      </c>
      <c r="B56" s="57" t="s">
        <v>67</v>
      </c>
      <c r="C56" s="58">
        <v>43531</v>
      </c>
      <c r="D56" s="57" t="s">
        <v>69</v>
      </c>
      <c r="E56" s="59" t="str">
        <f>HLOOKUP($B$50, Workshops!$B$19:$K$28,Workshops!L25,FALSE)</f>
        <v>Decision making 8 wastes</v>
      </c>
      <c r="F56" s="57" t="s">
        <v>70</v>
      </c>
    </row>
    <row r="57" spans="1:6" ht="92.25" customHeight="1" x14ac:dyDescent="0.25">
      <c r="A57" s="57" t="s">
        <v>99</v>
      </c>
      <c r="B57" s="57" t="s">
        <v>67</v>
      </c>
      <c r="C57" s="58">
        <v>43531</v>
      </c>
      <c r="D57" s="57" t="s">
        <v>69</v>
      </c>
      <c r="E57" s="59">
        <f>HLOOKUP($B$50, Workshops!$B$19:$K$28,Workshops!L26,FALSE)</f>
        <v>0</v>
      </c>
      <c r="F57" s="57" t="s">
        <v>63</v>
      </c>
    </row>
    <row r="58" spans="1:6" ht="67.5" customHeight="1" x14ac:dyDescent="0.25">
      <c r="A58" s="57" t="s">
        <v>97</v>
      </c>
      <c r="B58" s="57" t="s">
        <v>67</v>
      </c>
      <c r="C58" s="58">
        <v>43531</v>
      </c>
      <c r="D58" s="57" t="s">
        <v>66</v>
      </c>
      <c r="E58" s="59" t="str">
        <f>HLOOKUP($B$50, Workshops!$B$19:$K$28,Workshops!L27,FALSE)</f>
        <v>The power of yet</v>
      </c>
      <c r="F58" s="57" t="s">
        <v>71</v>
      </c>
    </row>
    <row r="59" spans="1:6" ht="58.5" customHeight="1" x14ac:dyDescent="0.25">
      <c r="A59" s="57" t="s">
        <v>90</v>
      </c>
      <c r="B59" s="57" t="s">
        <v>72</v>
      </c>
      <c r="C59" s="58">
        <v>43532</v>
      </c>
      <c r="D59" s="57" t="s">
        <v>62</v>
      </c>
      <c r="E59" s="59" t="str">
        <f>HLOOKUP($B$50, Workshops!$B$19:$K$28,Workshops!L28,FALSE)</f>
        <v xml:space="preserve">Budgeting </v>
      </c>
      <c r="F59" s="57" t="s">
        <v>70</v>
      </c>
    </row>
    <row r="60" spans="1:6" ht="46.5" x14ac:dyDescent="0.25">
      <c r="A60" s="51"/>
      <c r="B60" s="50" t="s">
        <v>41</v>
      </c>
      <c r="C60" s="51"/>
      <c r="D60" s="51"/>
      <c r="E60" s="51"/>
      <c r="F60" s="52"/>
    </row>
    <row r="61" spans="1:6" ht="48" customHeight="1" x14ac:dyDescent="0.25">
      <c r="A61" s="54" t="s">
        <v>91</v>
      </c>
      <c r="B61" s="54" t="s">
        <v>59</v>
      </c>
      <c r="C61" s="55">
        <v>43536</v>
      </c>
      <c r="D61" s="54" t="s">
        <v>60</v>
      </c>
      <c r="E61" s="56" t="str">
        <f>HLOOKUP($B$60, Workshops!$B$19:$K$28,Workshops!L20,FALSE)</f>
        <v>Rebuilding your testimony</v>
      </c>
      <c r="F61" s="54" t="s">
        <v>76</v>
      </c>
    </row>
    <row r="62" spans="1:6" ht="34.5" customHeight="1" x14ac:dyDescent="0.25">
      <c r="A62" s="54" t="s">
        <v>92</v>
      </c>
      <c r="B62" s="54" t="s">
        <v>61</v>
      </c>
      <c r="C62" s="55">
        <v>43537</v>
      </c>
      <c r="D62" s="54" t="s">
        <v>62</v>
      </c>
      <c r="E62" s="56" t="str">
        <f>HLOOKUP($B$60, Workshops!$B$19:$K$28,Workshops!L21,FALSE)</f>
        <v>Effective Feedback</v>
      </c>
      <c r="F62" s="54" t="s">
        <v>70</v>
      </c>
    </row>
    <row r="63" spans="1:6" ht="42.75" customHeight="1" x14ac:dyDescent="0.25">
      <c r="A63" s="54" t="s">
        <v>93</v>
      </c>
      <c r="B63" s="54" t="s">
        <v>61</v>
      </c>
      <c r="C63" s="55">
        <v>43537</v>
      </c>
      <c r="D63" s="54" t="s">
        <v>64</v>
      </c>
      <c r="E63" s="56" t="str">
        <f>HLOOKUP($B$60, Workshops!$B$19:$K$28,Workshops!L22,FALSE)</f>
        <v>Patterns for academic success</v>
      </c>
      <c r="F63" s="54" t="s">
        <v>71</v>
      </c>
    </row>
    <row r="64" spans="1:6" ht="42.75" customHeight="1" x14ac:dyDescent="0.25">
      <c r="A64" s="54" t="s">
        <v>94</v>
      </c>
      <c r="B64" s="54" t="s">
        <v>61</v>
      </c>
      <c r="C64" s="55">
        <v>43537</v>
      </c>
      <c r="D64" s="54" t="s">
        <v>66</v>
      </c>
      <c r="E64" s="56" t="str">
        <f>HLOOKUP($B$60, Workshops!$B$19:$K$28,Workshops!L23,FALSE)</f>
        <v>Managing your money</v>
      </c>
      <c r="F64" s="54" t="s">
        <v>71</v>
      </c>
    </row>
    <row r="65" spans="1:6" ht="43.5" customHeight="1" x14ac:dyDescent="0.25">
      <c r="A65" s="54" t="s">
        <v>95</v>
      </c>
      <c r="B65" s="54" t="s">
        <v>67</v>
      </c>
      <c r="C65" s="55">
        <v>43538</v>
      </c>
      <c r="D65" s="54" t="s">
        <v>68</v>
      </c>
      <c r="E65" s="56" t="str">
        <f>HLOOKUP($B$60, Workshops!$B$19:$K$28,Workshops!L24,FALSE)</f>
        <v>Problem Solving</v>
      </c>
      <c r="F65" s="54" t="s">
        <v>63</v>
      </c>
    </row>
    <row r="66" spans="1:6" ht="55.5" customHeight="1" x14ac:dyDescent="0.25">
      <c r="A66" s="54" t="s">
        <v>96</v>
      </c>
      <c r="B66" s="54" t="s">
        <v>67</v>
      </c>
      <c r="C66" s="55">
        <v>43538</v>
      </c>
      <c r="D66" s="54" t="s">
        <v>69</v>
      </c>
      <c r="E66" s="56" t="str">
        <f>HLOOKUP($B$60, Workshops!$B$19:$K$28,Workshops!L25,FALSE)</f>
        <v>Decision Making- 7S</v>
      </c>
      <c r="F66" s="54" t="s">
        <v>70</v>
      </c>
    </row>
    <row r="67" spans="1:6" ht="56.25" customHeight="1" x14ac:dyDescent="0.25">
      <c r="A67" s="54" t="s">
        <v>99</v>
      </c>
      <c r="B67" s="54" t="s">
        <v>67</v>
      </c>
      <c r="C67" s="55">
        <v>43538</v>
      </c>
      <c r="D67" s="54" t="s">
        <v>69</v>
      </c>
      <c r="E67" s="56">
        <f>HLOOKUP($B$60, Workshops!$B$19:$K$28,Workshops!L26,FALSE)</f>
        <v>0</v>
      </c>
      <c r="F67" s="54" t="s">
        <v>63</v>
      </c>
    </row>
    <row r="68" spans="1:6" ht="51" customHeight="1" x14ac:dyDescent="0.25">
      <c r="A68" s="54" t="s">
        <v>97</v>
      </c>
      <c r="B68" s="54" t="s">
        <v>67</v>
      </c>
      <c r="C68" s="55">
        <v>43538</v>
      </c>
      <c r="D68" s="54" t="s">
        <v>66</v>
      </c>
      <c r="E68" s="56" t="str">
        <f>HLOOKUP($B$60, Workshops!$B$19:$K$28,Workshops!L27,FALSE)</f>
        <v>Goal Setting</v>
      </c>
      <c r="F68" s="54" t="s">
        <v>71</v>
      </c>
    </row>
    <row r="69" spans="1:6" ht="48.75" customHeight="1" x14ac:dyDescent="0.25">
      <c r="A69" s="54" t="s">
        <v>90</v>
      </c>
      <c r="B69" s="54" t="s">
        <v>72</v>
      </c>
      <c r="C69" s="55">
        <v>43539</v>
      </c>
      <c r="D69" s="54" t="s">
        <v>62</v>
      </c>
      <c r="E69" s="56" t="str">
        <f>HLOOKUP($B$60, Workshops!$B$19:$K$28,Workshops!L28,FALSE)</f>
        <v>Saving</v>
      </c>
      <c r="F69" s="54" t="s">
        <v>70</v>
      </c>
    </row>
    <row r="70" spans="1:6" ht="48.75" customHeight="1" x14ac:dyDescent="0.25">
      <c r="A70" s="51"/>
      <c r="B70" s="50" t="s">
        <v>42</v>
      </c>
      <c r="C70" s="51"/>
      <c r="D70" s="51"/>
      <c r="E70" s="51"/>
      <c r="F70" s="52"/>
    </row>
    <row r="71" spans="1:6" ht="51" customHeight="1" x14ac:dyDescent="0.25">
      <c r="A71" s="57" t="s">
        <v>91</v>
      </c>
      <c r="B71" s="57" t="s">
        <v>59</v>
      </c>
      <c r="C71" s="58">
        <v>43543</v>
      </c>
      <c r="D71" s="57" t="s">
        <v>60</v>
      </c>
      <c r="E71" s="59" t="str">
        <f>HLOOKUP($B$70, Workshops!$B$19:$K$28,Workshops!L20,FALSE)</f>
        <v>Applying the Atonement to your life</v>
      </c>
      <c r="F71" s="57" t="s">
        <v>76</v>
      </c>
    </row>
    <row r="72" spans="1:6" ht="61.5" customHeight="1" x14ac:dyDescent="0.25">
      <c r="A72" s="57" t="s">
        <v>92</v>
      </c>
      <c r="B72" s="57" t="s">
        <v>61</v>
      </c>
      <c r="C72" s="58">
        <v>43544</v>
      </c>
      <c r="D72" s="57" t="s">
        <v>62</v>
      </c>
      <c r="E72" s="59" t="str">
        <f>HLOOKUP($B$70, Workshops!$B$19:$K$28,Workshops!L21,FALSE)</f>
        <v>Choosing a Growth Mindset</v>
      </c>
      <c r="F72" s="57" t="s">
        <v>70</v>
      </c>
    </row>
    <row r="73" spans="1:6" ht="60.75" customHeight="1" x14ac:dyDescent="0.25">
      <c r="A73" s="57" t="s">
        <v>93</v>
      </c>
      <c r="B73" s="57" t="s">
        <v>61</v>
      </c>
      <c r="C73" s="58">
        <v>43544</v>
      </c>
      <c r="D73" s="57" t="s">
        <v>64</v>
      </c>
      <c r="E73" s="59" t="str">
        <f>HLOOKUP($B$70, Workshops!$B$19:$K$28,Workshops!L22,FALSE)</f>
        <v>Getting the most out of class</v>
      </c>
      <c r="F73" s="57" t="s">
        <v>71</v>
      </c>
    </row>
    <row r="74" spans="1:6" ht="38.25" customHeight="1" x14ac:dyDescent="0.25">
      <c r="A74" s="57" t="s">
        <v>94</v>
      </c>
      <c r="B74" s="57" t="s">
        <v>61</v>
      </c>
      <c r="C74" s="58">
        <v>43544</v>
      </c>
      <c r="D74" s="57" t="s">
        <v>66</v>
      </c>
      <c r="E74" s="59" t="str">
        <f>HLOOKUP($B$70, Workshops!$B$19:$K$28,Workshops!L23,FALSE)</f>
        <v>Debt Management</v>
      </c>
      <c r="F74" s="57" t="s">
        <v>71</v>
      </c>
    </row>
    <row r="75" spans="1:6" ht="47.25" customHeight="1" x14ac:dyDescent="0.25">
      <c r="A75" s="57" t="s">
        <v>95</v>
      </c>
      <c r="B75" s="57" t="s">
        <v>67</v>
      </c>
      <c r="C75" s="58">
        <v>43545</v>
      </c>
      <c r="D75" s="57" t="s">
        <v>68</v>
      </c>
      <c r="E75" s="59" t="str">
        <f>HLOOKUP($B$70, Workshops!$B$19:$K$28,Workshops!L24,FALSE)</f>
        <v>Maximize your time: RAC method</v>
      </c>
      <c r="F75" s="57" t="s">
        <v>63</v>
      </c>
    </row>
    <row r="76" spans="1:6" ht="64.5" customHeight="1" x14ac:dyDescent="0.25">
      <c r="A76" s="57" t="s">
        <v>96</v>
      </c>
      <c r="B76" s="57" t="s">
        <v>67</v>
      </c>
      <c r="C76" s="58">
        <v>43545</v>
      </c>
      <c r="D76" s="57" t="s">
        <v>69</v>
      </c>
      <c r="E76" s="59" t="str">
        <f>HLOOKUP($B$70, Workshops!$B$19:$K$28,Workshops!L25,FALSE)</f>
        <v>Decision Making- Pugh Matrix</v>
      </c>
      <c r="F76" s="57" t="s">
        <v>70</v>
      </c>
    </row>
    <row r="77" spans="1:6" ht="57.75" customHeight="1" x14ac:dyDescent="0.25">
      <c r="A77" s="57" t="s">
        <v>99</v>
      </c>
      <c r="B77" s="57" t="s">
        <v>67</v>
      </c>
      <c r="C77" s="58">
        <v>43545</v>
      </c>
      <c r="D77" s="57" t="s">
        <v>69</v>
      </c>
      <c r="E77" s="59">
        <f>HLOOKUP($B$70, Workshops!$B$19:$K$28,Workshops!L26,FALSE)</f>
        <v>0</v>
      </c>
      <c r="F77" s="57" t="s">
        <v>63</v>
      </c>
    </row>
    <row r="78" spans="1:6" ht="54.75" customHeight="1" x14ac:dyDescent="0.25">
      <c r="A78" s="57" t="s">
        <v>97</v>
      </c>
      <c r="B78" s="57" t="s">
        <v>67</v>
      </c>
      <c r="C78" s="58">
        <v>43545</v>
      </c>
      <c r="D78" s="57" t="s">
        <v>66</v>
      </c>
      <c r="E78" s="59" t="str">
        <f>HLOOKUP($B$70, Workshops!$B$19:$K$28,Workshops!L27,FALSE)</f>
        <v>Elevating your mindset</v>
      </c>
      <c r="F78" s="57" t="s">
        <v>71</v>
      </c>
    </row>
    <row r="79" spans="1:6" ht="46.5" customHeight="1" x14ac:dyDescent="0.25">
      <c r="A79" s="57" t="s">
        <v>90</v>
      </c>
      <c r="B79" s="57" t="s">
        <v>72</v>
      </c>
      <c r="C79" s="58">
        <v>43546</v>
      </c>
      <c r="D79" s="57" t="s">
        <v>62</v>
      </c>
      <c r="E79" s="59" t="str">
        <f>HLOOKUP($B$70, Workshops!$B$19:$K$28,Workshops!L28,FALSE)</f>
        <v>Giving back while in school</v>
      </c>
      <c r="F79" s="57" t="s">
        <v>70</v>
      </c>
    </row>
    <row r="80" spans="1:6" ht="46.5" customHeight="1" x14ac:dyDescent="0.25">
      <c r="A80" s="51"/>
      <c r="B80" s="50" t="s">
        <v>43</v>
      </c>
      <c r="C80" s="51"/>
      <c r="D80" s="51"/>
      <c r="E80" s="51"/>
      <c r="F80" s="52"/>
    </row>
    <row r="81" spans="1:6" ht="53.25" customHeight="1" x14ac:dyDescent="0.25">
      <c r="A81" s="54" t="s">
        <v>91</v>
      </c>
      <c r="B81" s="54" t="s">
        <v>59</v>
      </c>
      <c r="C81" s="55">
        <v>43550</v>
      </c>
      <c r="D81" s="54" t="s">
        <v>60</v>
      </c>
      <c r="E81" s="56" t="str">
        <f>HLOOKUP($B$80, Workshops!$B$19:$K$28,Workshops!L20,FALSE)</f>
        <v>Likening the scriptures</v>
      </c>
      <c r="F81" s="54" t="s">
        <v>76</v>
      </c>
    </row>
    <row r="82" spans="1:6" ht="42" customHeight="1" x14ac:dyDescent="0.25">
      <c r="A82" s="54" t="s">
        <v>92</v>
      </c>
      <c r="B82" s="54" t="s">
        <v>61</v>
      </c>
      <c r="C82" s="55">
        <v>43551</v>
      </c>
      <c r="D82" s="54" t="s">
        <v>62</v>
      </c>
      <c r="E82" s="56" t="str">
        <f>HLOOKUP($B$80, Workshops!$B$19:$K$28,Workshops!L21,FALSE)</f>
        <v>Effective Feedback</v>
      </c>
      <c r="F82" s="54" t="s">
        <v>70</v>
      </c>
    </row>
    <row r="83" spans="1:6" ht="51" customHeight="1" x14ac:dyDescent="0.25">
      <c r="A83" s="54" t="s">
        <v>93</v>
      </c>
      <c r="B83" s="54" t="s">
        <v>61</v>
      </c>
      <c r="C83" s="55">
        <v>43551</v>
      </c>
      <c r="D83" s="54" t="s">
        <v>64</v>
      </c>
      <c r="E83" s="56" t="str">
        <f>HLOOKUP($B$80, Workshops!$B$19:$K$28,Workshops!L22,FALSE)</f>
        <v>Test taking</v>
      </c>
      <c r="F83" s="54" t="s">
        <v>71</v>
      </c>
    </row>
    <row r="84" spans="1:6" ht="56.25" customHeight="1" x14ac:dyDescent="0.25">
      <c r="A84" s="54" t="s">
        <v>94</v>
      </c>
      <c r="B84" s="54" t="s">
        <v>61</v>
      </c>
      <c r="C84" s="55">
        <v>43551</v>
      </c>
      <c r="D84" s="54" t="s">
        <v>66</v>
      </c>
      <c r="E84" s="56" t="str">
        <f>HLOOKUP($B$80, Workshops!$B$19:$K$28,Workshops!L23,FALSE)</f>
        <v>Budgeting</v>
      </c>
      <c r="F84" s="54" t="s">
        <v>71</v>
      </c>
    </row>
    <row r="85" spans="1:6" ht="43.5" customHeight="1" x14ac:dyDescent="0.25">
      <c r="A85" s="54" t="s">
        <v>95</v>
      </c>
      <c r="B85" s="54" t="s">
        <v>67</v>
      </c>
      <c r="C85" s="55">
        <v>43552</v>
      </c>
      <c r="D85" s="54" t="s">
        <v>68</v>
      </c>
      <c r="E85" s="56" t="str">
        <f>HLOOKUP($B$80, Workshops!$B$19:$K$28,Workshops!L24,FALSE)</f>
        <v>Decision Making- Standard Work</v>
      </c>
      <c r="F85" s="54" t="s">
        <v>63</v>
      </c>
    </row>
    <row r="86" spans="1:6" ht="34.5" customHeight="1" x14ac:dyDescent="0.25">
      <c r="A86" s="54" t="s">
        <v>96</v>
      </c>
      <c r="B86" s="54" t="s">
        <v>67</v>
      </c>
      <c r="C86" s="55">
        <v>43552</v>
      </c>
      <c r="D86" s="54" t="s">
        <v>69</v>
      </c>
      <c r="E86" s="56" t="str">
        <f>HLOOKUP($B$80, Workshops!$B$19:$K$28,Workshops!L25,FALSE)</f>
        <v>Problem Solving</v>
      </c>
      <c r="F86" s="54" t="s">
        <v>70</v>
      </c>
    </row>
    <row r="87" spans="1:6" ht="36.75" customHeight="1" x14ac:dyDescent="0.25">
      <c r="A87" s="54" t="s">
        <v>99</v>
      </c>
      <c r="B87" s="54" t="s">
        <v>67</v>
      </c>
      <c r="C87" s="55">
        <v>43552</v>
      </c>
      <c r="D87" s="54" t="s">
        <v>69</v>
      </c>
      <c r="E87" s="56">
        <f>HLOOKUP($B$80, Workshops!$B$19:$K$28,Workshops!L26,FALSE)</f>
        <v>0</v>
      </c>
      <c r="F87" s="54" t="s">
        <v>63</v>
      </c>
    </row>
    <row r="88" spans="1:6" ht="42.75" customHeight="1" x14ac:dyDescent="0.25">
      <c r="A88" s="54" t="s">
        <v>97</v>
      </c>
      <c r="B88" s="54" t="s">
        <v>67</v>
      </c>
      <c r="C88" s="55">
        <v>43552</v>
      </c>
      <c r="D88" s="54" t="s">
        <v>66</v>
      </c>
      <c r="E88" s="56" t="str">
        <f>HLOOKUP($B$80, Workshops!$B$19:$K$28,Workshops!L27,FALSE)</f>
        <v>Goal Setting</v>
      </c>
      <c r="F88" s="54" t="s">
        <v>71</v>
      </c>
    </row>
    <row r="89" spans="1:6" ht="44.25" customHeight="1" x14ac:dyDescent="0.25">
      <c r="A89" s="54" t="s">
        <v>90</v>
      </c>
      <c r="B89" s="54" t="s">
        <v>72</v>
      </c>
      <c r="C89" s="55">
        <v>43553</v>
      </c>
      <c r="D89" s="54" t="s">
        <v>62</v>
      </c>
      <c r="E89" s="56" t="str">
        <f>HLOOKUP($B$80, Workshops!$B$19:$K$28,Workshops!L28,FALSE)</f>
        <v>Managing your money</v>
      </c>
      <c r="F89" s="54" t="s">
        <v>63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workbookViewId="0">
      <selection activeCell="C23" sqref="C23"/>
    </sheetView>
  </sheetViews>
  <sheetFormatPr defaultRowHeight="15" x14ac:dyDescent="0.25"/>
  <cols>
    <col min="1" max="1" width="39.625" customWidth="1"/>
    <col min="2" max="2" width="30.25" bestFit="1" customWidth="1"/>
    <col min="3" max="3" width="33.875" bestFit="1" customWidth="1"/>
    <col min="4" max="4" width="50.125" bestFit="1" customWidth="1"/>
    <col min="5" max="5" width="30.25" bestFit="1" customWidth="1"/>
    <col min="6" max="6" width="31.875" bestFit="1" customWidth="1"/>
    <col min="7" max="7" width="35.125" bestFit="1" customWidth="1"/>
    <col min="8" max="8" width="31.25" bestFit="1" customWidth="1"/>
    <col min="9" max="9" width="29.75" bestFit="1" customWidth="1"/>
    <col min="10" max="10" width="21.125" bestFit="1" customWidth="1"/>
    <col min="11" max="11" width="50.125" bestFit="1" customWidth="1"/>
  </cols>
  <sheetData>
    <row r="1" spans="1:8" ht="20.25" x14ac:dyDescent="0.3">
      <c r="A1" s="1" t="s">
        <v>0</v>
      </c>
      <c r="B1" s="2"/>
      <c r="C1" s="2"/>
      <c r="D1" s="2"/>
      <c r="E1" s="2"/>
      <c r="F1" s="2"/>
      <c r="G1" s="2"/>
      <c r="H1" s="2"/>
    </row>
    <row r="2" spans="1:8" ht="18.75" x14ac:dyDescent="0.3">
      <c r="A2" s="3" t="s">
        <v>1</v>
      </c>
      <c r="B2" s="2" t="s">
        <v>2</v>
      </c>
      <c r="C2" s="8" t="s">
        <v>3</v>
      </c>
      <c r="D2" s="2" t="s">
        <v>4</v>
      </c>
      <c r="E2" s="2" t="s">
        <v>5</v>
      </c>
      <c r="F2" s="2"/>
      <c r="G2" s="2"/>
      <c r="H2" s="2"/>
    </row>
    <row r="3" spans="1:8" ht="18.75" x14ac:dyDescent="0.3">
      <c r="A3" s="4" t="s">
        <v>11</v>
      </c>
      <c r="B3" s="2" t="s">
        <v>6</v>
      </c>
      <c r="C3" s="8" t="s">
        <v>7</v>
      </c>
      <c r="D3" s="8" t="s">
        <v>8</v>
      </c>
      <c r="E3" s="2" t="s">
        <v>9</v>
      </c>
      <c r="F3" s="2" t="s">
        <v>10</v>
      </c>
      <c r="G3" s="2"/>
      <c r="H3" s="2"/>
    </row>
    <row r="4" spans="1:8" ht="18.75" x14ac:dyDescent="0.3">
      <c r="A4" s="5" t="s">
        <v>12</v>
      </c>
      <c r="B4" s="2" t="s">
        <v>13</v>
      </c>
      <c r="C4" s="8" t="s">
        <v>14</v>
      </c>
      <c r="D4" s="2" t="s">
        <v>15</v>
      </c>
      <c r="E4" s="2" t="s">
        <v>16</v>
      </c>
      <c r="F4" s="2" t="s">
        <v>17</v>
      </c>
      <c r="G4" s="8" t="s">
        <v>18</v>
      </c>
      <c r="H4" s="2" t="s">
        <v>19</v>
      </c>
    </row>
    <row r="5" spans="1:8" ht="18.75" x14ac:dyDescent="0.3">
      <c r="A5" s="5" t="s">
        <v>23</v>
      </c>
      <c r="B5" s="2" t="s">
        <v>20</v>
      </c>
      <c r="C5" s="2" t="s">
        <v>21</v>
      </c>
      <c r="D5" s="2" t="s">
        <v>22</v>
      </c>
      <c r="E5" s="2"/>
      <c r="F5" s="2"/>
      <c r="G5" s="2"/>
      <c r="H5" s="2"/>
    </row>
    <row r="6" spans="1:8" ht="18.75" x14ac:dyDescent="0.3">
      <c r="A6" s="6" t="s">
        <v>24</v>
      </c>
      <c r="B6" s="2" t="s">
        <v>25</v>
      </c>
      <c r="C6" s="2" t="s">
        <v>26</v>
      </c>
      <c r="D6" s="2" t="s">
        <v>27</v>
      </c>
      <c r="E6" s="2"/>
      <c r="F6" s="2"/>
      <c r="G6" s="2"/>
      <c r="H6" s="2"/>
    </row>
    <row r="7" spans="1:8" ht="18.75" x14ac:dyDescent="0.3">
      <c r="A7" s="7" t="s">
        <v>28</v>
      </c>
      <c r="B7" s="8" t="s">
        <v>29</v>
      </c>
      <c r="C7" s="8" t="s">
        <v>30</v>
      </c>
      <c r="D7" s="2" t="s">
        <v>31</v>
      </c>
      <c r="E7" s="2" t="s">
        <v>32</v>
      </c>
      <c r="F7" s="2" t="s">
        <v>33</v>
      </c>
      <c r="G7" s="2" t="s">
        <v>34</v>
      </c>
      <c r="H7" s="2"/>
    </row>
    <row r="8" spans="1:8" ht="18.75" x14ac:dyDescent="0.3">
      <c r="A8" s="65"/>
      <c r="B8" s="66"/>
      <c r="C8" s="66"/>
      <c r="D8" s="10"/>
      <c r="E8" s="10"/>
      <c r="F8" s="10"/>
      <c r="G8" s="10"/>
      <c r="H8" s="10"/>
    </row>
    <row r="9" spans="1:8" ht="18.75" x14ac:dyDescent="0.3">
      <c r="A9" s="65"/>
      <c r="B9" s="66"/>
      <c r="C9" s="66"/>
      <c r="D9" s="10"/>
      <c r="E9" s="10"/>
      <c r="F9" s="10"/>
      <c r="G9" s="10"/>
      <c r="H9" s="10"/>
    </row>
    <row r="10" spans="1:8" ht="18.75" x14ac:dyDescent="0.3">
      <c r="A10" s="67" t="s">
        <v>57</v>
      </c>
      <c r="B10" s="68" t="s">
        <v>101</v>
      </c>
    </row>
    <row r="11" spans="1:8" ht="18.75" x14ac:dyDescent="0.3">
      <c r="A11" s="3" t="s">
        <v>1</v>
      </c>
    </row>
    <row r="12" spans="1:8" x14ac:dyDescent="0.25">
      <c r="A12" s="2" t="s">
        <v>2</v>
      </c>
    </row>
    <row r="13" spans="1:8" x14ac:dyDescent="0.25">
      <c r="A13" s="8" t="s">
        <v>3</v>
      </c>
    </row>
    <row r="14" spans="1:8" x14ac:dyDescent="0.25">
      <c r="A14" s="2" t="s">
        <v>4</v>
      </c>
    </row>
    <row r="15" spans="1:8" x14ac:dyDescent="0.25">
      <c r="A15" s="2" t="s">
        <v>5</v>
      </c>
    </row>
    <row r="17" spans="1:1" ht="18.75" x14ac:dyDescent="0.3">
      <c r="A17" s="4" t="s">
        <v>11</v>
      </c>
    </row>
    <row r="18" spans="1:1" x14ac:dyDescent="0.25">
      <c r="A18" s="2" t="s">
        <v>6</v>
      </c>
    </row>
    <row r="19" spans="1:1" x14ac:dyDescent="0.25">
      <c r="A19" s="8" t="s">
        <v>7</v>
      </c>
    </row>
    <row r="20" spans="1:1" x14ac:dyDescent="0.25">
      <c r="A20" s="8" t="s">
        <v>8</v>
      </c>
    </row>
    <row r="21" spans="1:1" x14ac:dyDescent="0.25">
      <c r="A21" s="2" t="s">
        <v>9</v>
      </c>
    </row>
    <row r="22" spans="1:1" x14ac:dyDescent="0.25">
      <c r="A22" s="2" t="s">
        <v>10</v>
      </c>
    </row>
    <row r="24" spans="1:1" ht="18.75" x14ac:dyDescent="0.3">
      <c r="A24" s="5" t="s">
        <v>12</v>
      </c>
    </row>
    <row r="25" spans="1:1" x14ac:dyDescent="0.25">
      <c r="A25" s="2" t="s">
        <v>13</v>
      </c>
    </row>
    <row r="26" spans="1:1" x14ac:dyDescent="0.25">
      <c r="A26" s="8" t="s">
        <v>14</v>
      </c>
    </row>
    <row r="27" spans="1:1" x14ac:dyDescent="0.25">
      <c r="A27" s="2" t="s">
        <v>15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8" t="s">
        <v>18</v>
      </c>
    </row>
    <row r="31" spans="1:1" x14ac:dyDescent="0.25">
      <c r="A31" s="2" t="s">
        <v>19</v>
      </c>
    </row>
    <row r="33" spans="1:1" ht="18.75" x14ac:dyDescent="0.3">
      <c r="A33" s="5" t="s">
        <v>23</v>
      </c>
    </row>
    <row r="34" spans="1:1" x14ac:dyDescent="0.25">
      <c r="A34" s="2" t="s">
        <v>20</v>
      </c>
    </row>
    <row r="35" spans="1:1" x14ac:dyDescent="0.25">
      <c r="A35" s="2" t="s">
        <v>21</v>
      </c>
    </row>
    <row r="36" spans="1:1" x14ac:dyDescent="0.25">
      <c r="A36" s="2" t="s">
        <v>22</v>
      </c>
    </row>
    <row r="38" spans="1:1" ht="18.75" x14ac:dyDescent="0.3">
      <c r="A38" s="6" t="s">
        <v>24</v>
      </c>
    </row>
    <row r="39" spans="1:1" x14ac:dyDescent="0.25">
      <c r="A39" s="2" t="s">
        <v>25</v>
      </c>
    </row>
    <row r="40" spans="1:1" x14ac:dyDescent="0.25">
      <c r="A40" s="2" t="s">
        <v>26</v>
      </c>
    </row>
    <row r="41" spans="1:1" x14ac:dyDescent="0.25">
      <c r="A41" s="2" t="s">
        <v>27</v>
      </c>
    </row>
    <row r="43" spans="1:1" ht="18.75" x14ac:dyDescent="0.3">
      <c r="A43" s="7" t="s">
        <v>28</v>
      </c>
    </row>
    <row r="44" spans="1:1" x14ac:dyDescent="0.25">
      <c r="A44" s="8" t="s">
        <v>29</v>
      </c>
    </row>
    <row r="45" spans="1:1" x14ac:dyDescent="0.25">
      <c r="A45" s="8" t="s">
        <v>30</v>
      </c>
    </row>
    <row r="46" spans="1:1" x14ac:dyDescent="0.25">
      <c r="A46" s="2" t="s">
        <v>31</v>
      </c>
    </row>
    <row r="47" spans="1:1" x14ac:dyDescent="0.25">
      <c r="A47" s="2" t="s">
        <v>32</v>
      </c>
    </row>
    <row r="48" spans="1:1" x14ac:dyDescent="0.25">
      <c r="A48" s="2" t="s">
        <v>33</v>
      </c>
    </row>
    <row r="49" spans="1:1" x14ac:dyDescent="0.25">
      <c r="A49" s="2" t="s">
        <v>34</v>
      </c>
    </row>
  </sheetData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topLeftCell="C1" workbookViewId="0">
      <selection activeCell="I2" sqref="I2:I9"/>
    </sheetView>
  </sheetViews>
  <sheetFormatPr defaultRowHeight="15" x14ac:dyDescent="0.25"/>
  <cols>
    <col min="1" max="1" width="31" customWidth="1"/>
    <col min="2" max="2" width="33.875" bestFit="1" customWidth="1"/>
    <col min="3" max="3" width="51.625" customWidth="1"/>
    <col min="4" max="4" width="33.875" bestFit="1" customWidth="1"/>
    <col min="5" max="5" width="31.75" customWidth="1"/>
    <col min="6" max="6" width="31.125" customWidth="1"/>
    <col min="7" max="7" width="26.875" customWidth="1"/>
    <col min="8" max="8" width="32.875" customWidth="1"/>
    <col min="9" max="9" width="30" customWidth="1"/>
  </cols>
  <sheetData>
    <row r="1" spans="1:9" ht="21" thickBot="1" x14ac:dyDescent="0.35">
      <c r="A1" s="12" t="s">
        <v>35</v>
      </c>
      <c r="B1" s="13" t="s">
        <v>36</v>
      </c>
      <c r="C1" s="13" t="s">
        <v>37</v>
      </c>
      <c r="D1" s="13" t="s">
        <v>38</v>
      </c>
      <c r="E1" s="13" t="s">
        <v>39</v>
      </c>
      <c r="F1" s="13" t="s">
        <v>40</v>
      </c>
      <c r="G1" s="13" t="s">
        <v>41</v>
      </c>
      <c r="H1" s="13" t="s">
        <v>42</v>
      </c>
      <c r="I1" s="14" t="s">
        <v>43</v>
      </c>
    </row>
    <row r="2" spans="1:9" x14ac:dyDescent="0.25">
      <c r="A2" s="11" t="s">
        <v>25</v>
      </c>
      <c r="B2" s="11" t="s">
        <v>26</v>
      </c>
      <c r="C2" s="11" t="s">
        <v>27</v>
      </c>
      <c r="D2" s="11" t="s">
        <v>26</v>
      </c>
      <c r="E2" s="11" t="s">
        <v>25</v>
      </c>
      <c r="F2" s="11" t="s">
        <v>27</v>
      </c>
      <c r="G2" s="11" t="s">
        <v>25</v>
      </c>
      <c r="H2" s="11" t="s">
        <v>26</v>
      </c>
      <c r="I2" s="11" t="s">
        <v>27</v>
      </c>
    </row>
    <row r="3" spans="1:9" x14ac:dyDescent="0.25">
      <c r="A3" s="2" t="s">
        <v>2</v>
      </c>
      <c r="B3" s="2" t="s">
        <v>3</v>
      </c>
      <c r="C3" s="2" t="s">
        <v>49</v>
      </c>
      <c r="D3" s="2" t="s">
        <v>4</v>
      </c>
      <c r="E3" s="2" t="s">
        <v>3</v>
      </c>
      <c r="F3" s="2" t="s">
        <v>2</v>
      </c>
      <c r="G3" s="2" t="s">
        <v>4</v>
      </c>
      <c r="H3" s="2" t="s">
        <v>3</v>
      </c>
      <c r="I3" s="2" t="s">
        <v>49</v>
      </c>
    </row>
    <row r="4" spans="1:9" x14ac:dyDescent="0.25">
      <c r="A4" s="17" t="s">
        <v>29</v>
      </c>
      <c r="B4" s="2" t="s">
        <v>45</v>
      </c>
      <c r="C4" s="2" t="s">
        <v>32</v>
      </c>
      <c r="D4" s="2" t="s">
        <v>29</v>
      </c>
      <c r="E4" s="2" t="s">
        <v>52</v>
      </c>
      <c r="F4" s="2" t="s">
        <v>46</v>
      </c>
      <c r="G4" s="17" t="s">
        <v>29</v>
      </c>
      <c r="H4" s="2" t="s">
        <v>32</v>
      </c>
      <c r="I4" s="2" t="s">
        <v>30</v>
      </c>
    </row>
    <row r="5" spans="1:9" x14ac:dyDescent="0.25">
      <c r="A5" s="2" t="s">
        <v>30</v>
      </c>
      <c r="B5" s="2" t="s">
        <v>46</v>
      </c>
      <c r="C5" s="2" t="s">
        <v>50</v>
      </c>
      <c r="D5" s="2" t="s">
        <v>33</v>
      </c>
      <c r="E5" s="2" t="s">
        <v>53</v>
      </c>
      <c r="F5" s="2" t="s">
        <v>50</v>
      </c>
      <c r="G5" s="2" t="s">
        <v>45</v>
      </c>
      <c r="H5" s="2" t="s">
        <v>33</v>
      </c>
      <c r="I5" s="17" t="s">
        <v>29</v>
      </c>
    </row>
    <row r="6" spans="1:9" ht="15.75" thickBot="1" x14ac:dyDescent="0.3">
      <c r="A6" s="2" t="s">
        <v>6</v>
      </c>
      <c r="B6" s="2" t="s">
        <v>47</v>
      </c>
      <c r="C6" s="2" t="s">
        <v>7</v>
      </c>
      <c r="D6" s="2" t="s">
        <v>51</v>
      </c>
      <c r="E6" s="2" t="s">
        <v>7</v>
      </c>
      <c r="F6" s="2" t="s">
        <v>6</v>
      </c>
      <c r="G6" s="2" t="s">
        <v>7</v>
      </c>
      <c r="H6" s="2" t="s">
        <v>47</v>
      </c>
      <c r="I6" s="2" t="s">
        <v>7</v>
      </c>
    </row>
    <row r="7" spans="1:9" ht="15.75" thickBot="1" x14ac:dyDescent="0.3">
      <c r="A7" s="2" t="s">
        <v>44</v>
      </c>
      <c r="B7" s="2" t="s">
        <v>9</v>
      </c>
      <c r="C7" s="2" t="s">
        <v>6</v>
      </c>
      <c r="D7" s="2" t="s">
        <v>13</v>
      </c>
      <c r="E7" s="2" t="s">
        <v>47</v>
      </c>
      <c r="F7" s="16" t="s">
        <v>9</v>
      </c>
      <c r="G7" s="9" t="s">
        <v>44</v>
      </c>
      <c r="H7" s="2" t="s">
        <v>6</v>
      </c>
      <c r="I7" s="9" t="s">
        <v>44</v>
      </c>
    </row>
    <row r="8" spans="1:9" ht="15.75" thickBot="1" x14ac:dyDescent="0.3">
      <c r="A8" s="9" t="s">
        <v>17</v>
      </c>
      <c r="B8" s="17" t="s">
        <v>14</v>
      </c>
      <c r="C8" s="2" t="s">
        <v>19</v>
      </c>
      <c r="D8" s="9" t="s">
        <v>44</v>
      </c>
      <c r="E8" s="2" t="s">
        <v>15</v>
      </c>
      <c r="F8" s="2" t="s">
        <v>17</v>
      </c>
      <c r="G8" s="15" t="s">
        <v>48</v>
      </c>
      <c r="H8" s="2" t="s">
        <v>19</v>
      </c>
      <c r="I8" s="2" t="s">
        <v>16</v>
      </c>
    </row>
    <row r="9" spans="1:9" ht="15.75" thickBot="1" x14ac:dyDescent="0.3">
      <c r="A9" s="2" t="s">
        <v>20</v>
      </c>
      <c r="B9" s="15" t="s">
        <v>48</v>
      </c>
      <c r="C9" s="2" t="s">
        <v>22</v>
      </c>
      <c r="D9" s="16" t="s">
        <v>9</v>
      </c>
      <c r="E9" s="2" t="s">
        <v>16</v>
      </c>
      <c r="F9" s="17" t="s">
        <v>14</v>
      </c>
      <c r="G9" s="2" t="s">
        <v>13</v>
      </c>
      <c r="H9" s="2" t="s">
        <v>15</v>
      </c>
      <c r="I9" s="15" t="s">
        <v>48</v>
      </c>
    </row>
    <row r="10" spans="1:9" x14ac:dyDescent="0.25">
      <c r="A10" s="10"/>
      <c r="B10" s="10"/>
      <c r="C10" s="10"/>
      <c r="D10" s="10"/>
      <c r="E10" s="10"/>
      <c r="F10" s="10"/>
      <c r="G10" s="10"/>
      <c r="H10" s="10"/>
      <c r="I10" s="10"/>
    </row>
    <row r="11" spans="1:9" x14ac:dyDescent="0.25">
      <c r="A11" s="10"/>
      <c r="B11" s="10"/>
      <c r="C11" s="10"/>
      <c r="D11" s="10"/>
      <c r="E11" s="10"/>
      <c r="F11" s="10"/>
      <c r="G11" s="10"/>
      <c r="H11" s="10"/>
      <c r="I11" s="10"/>
    </row>
    <row r="12" spans="1:9" x14ac:dyDescent="0.25">
      <c r="A12" s="10"/>
      <c r="B12" s="10"/>
      <c r="C12" s="10"/>
      <c r="D12" s="10"/>
      <c r="E12" s="10"/>
      <c r="F12" s="10"/>
      <c r="G12" s="10"/>
      <c r="H12" s="10"/>
      <c r="I12" s="10"/>
    </row>
    <row r="13" spans="1:9" x14ac:dyDescent="0.25">
      <c r="A13" s="10"/>
      <c r="B13" s="10"/>
      <c r="C13" s="10"/>
      <c r="D13" s="10"/>
      <c r="E13" s="10"/>
      <c r="F13" s="10"/>
      <c r="G13" s="10"/>
      <c r="H13" s="10"/>
      <c r="I13" s="10"/>
    </row>
    <row r="14" spans="1:9" x14ac:dyDescent="0.25">
      <c r="A14" s="10"/>
      <c r="B14" s="10"/>
      <c r="C14" s="10"/>
      <c r="D14" s="10"/>
      <c r="E14" s="10"/>
      <c r="F14" s="10"/>
      <c r="G14" s="10"/>
      <c r="H14" s="10"/>
      <c r="I14" s="10"/>
    </row>
    <row r="15" spans="1:9" x14ac:dyDescent="0.25">
      <c r="A15" s="10"/>
      <c r="B15" s="10"/>
      <c r="C15" s="10"/>
      <c r="D15" s="10"/>
      <c r="E15" s="10"/>
      <c r="F15" s="10"/>
      <c r="G15" s="10"/>
      <c r="H15" s="10"/>
      <c r="I15" s="10"/>
    </row>
    <row r="16" spans="1:9" x14ac:dyDescent="0.25">
      <c r="A16" s="10"/>
      <c r="B16" s="10"/>
      <c r="C16" s="10"/>
      <c r="D16" s="10"/>
      <c r="E16" s="10"/>
      <c r="F16" s="10"/>
      <c r="G16" s="10"/>
      <c r="H16" s="10"/>
      <c r="I16" s="10"/>
    </row>
    <row r="17" spans="1:9" x14ac:dyDescent="0.25">
      <c r="A17" s="10"/>
      <c r="B17" s="10"/>
      <c r="C17" s="10"/>
      <c r="D17" s="10"/>
      <c r="E17" s="10"/>
      <c r="F17" s="10"/>
      <c r="G17" s="10"/>
      <c r="H17" s="10"/>
      <c r="I17" s="10"/>
    </row>
    <row r="18" spans="1:9" x14ac:dyDescent="0.25">
      <c r="A18" s="10"/>
      <c r="B18" s="10"/>
      <c r="C18" s="10"/>
      <c r="D18" s="10"/>
      <c r="E18" s="10"/>
      <c r="F18" s="10"/>
      <c r="G18" s="10"/>
      <c r="H18" s="10"/>
      <c r="I18" s="10"/>
    </row>
    <row r="19" spans="1:9" x14ac:dyDescent="0.25">
      <c r="A19" s="10"/>
      <c r="B19" s="10"/>
      <c r="C19" s="10"/>
      <c r="D19" s="10"/>
      <c r="E19" s="10"/>
      <c r="F19" s="10"/>
      <c r="G19" s="10"/>
      <c r="H19" s="10"/>
      <c r="I19" s="10"/>
    </row>
    <row r="20" spans="1:9" x14ac:dyDescent="0.25">
      <c r="A20" s="10"/>
      <c r="B20" s="10"/>
      <c r="C20" s="10"/>
      <c r="D20" s="10"/>
      <c r="E20" s="10"/>
      <c r="F20" s="10"/>
      <c r="G20" s="10"/>
      <c r="H20" s="10"/>
      <c r="I20" s="10"/>
    </row>
    <row r="21" spans="1:9" x14ac:dyDescent="0.25">
      <c r="A21" s="1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8"/>
  <sheetViews>
    <sheetView workbookViewId="0">
      <selection activeCell="C20" sqref="C20"/>
    </sheetView>
  </sheetViews>
  <sheetFormatPr defaultRowHeight="15" x14ac:dyDescent="0.25"/>
  <cols>
    <col min="2" max="2" width="31" customWidth="1"/>
    <col min="3" max="3" width="33.875" bestFit="1" customWidth="1"/>
    <col min="4" max="4" width="51.625" customWidth="1"/>
    <col min="5" max="5" width="33.875" bestFit="1" customWidth="1"/>
    <col min="6" max="6" width="31.75" customWidth="1"/>
    <col min="7" max="7" width="31.125" customWidth="1"/>
    <col min="8" max="8" width="26.875" customWidth="1"/>
    <col min="9" max="9" width="32.875" customWidth="1"/>
    <col min="10" max="10" width="30" customWidth="1"/>
    <col min="11" max="11" width="26.875" bestFit="1" customWidth="1"/>
    <col min="12" max="12" width="23.625" bestFit="1" customWidth="1"/>
    <col min="13" max="13" width="28.375" bestFit="1" customWidth="1"/>
    <col min="14" max="14" width="26" bestFit="1" customWidth="1"/>
  </cols>
  <sheetData>
    <row r="1" spans="2:10" ht="21" thickBot="1" x14ac:dyDescent="0.35">
      <c r="B1" s="23" t="s">
        <v>35</v>
      </c>
      <c r="C1" s="24" t="s">
        <v>36</v>
      </c>
      <c r="D1" s="24" t="s">
        <v>37</v>
      </c>
      <c r="E1" s="24" t="s">
        <v>38</v>
      </c>
      <c r="F1" s="24" t="s">
        <v>39</v>
      </c>
      <c r="G1" s="24" t="s">
        <v>40</v>
      </c>
      <c r="H1" s="24" t="s">
        <v>41</v>
      </c>
      <c r="I1" s="24" t="s">
        <v>42</v>
      </c>
      <c r="J1" s="25" t="s">
        <v>43</v>
      </c>
    </row>
    <row r="2" spans="2:10" x14ac:dyDescent="0.25">
      <c r="B2" s="30" t="s">
        <v>25</v>
      </c>
      <c r="C2" s="31" t="s">
        <v>26</v>
      </c>
      <c r="D2" s="31" t="s">
        <v>27</v>
      </c>
      <c r="E2" s="31" t="s">
        <v>83</v>
      </c>
      <c r="F2" s="31" t="s">
        <v>25</v>
      </c>
      <c r="G2" s="31" t="s">
        <v>27</v>
      </c>
      <c r="H2" s="31" t="s">
        <v>25</v>
      </c>
      <c r="I2" s="31" t="s">
        <v>26</v>
      </c>
      <c r="J2" s="32" t="s">
        <v>27</v>
      </c>
    </row>
    <row r="3" spans="2:10" x14ac:dyDescent="0.25">
      <c r="B3" s="33" t="s">
        <v>2</v>
      </c>
      <c r="C3" s="26" t="s">
        <v>3</v>
      </c>
      <c r="D3" s="26" t="s">
        <v>49</v>
      </c>
      <c r="E3" s="26" t="s">
        <v>4</v>
      </c>
      <c r="F3" s="26" t="s">
        <v>3</v>
      </c>
      <c r="G3" s="26" t="s">
        <v>2</v>
      </c>
      <c r="H3" s="26" t="s">
        <v>4</v>
      </c>
      <c r="I3" s="26" t="s">
        <v>3</v>
      </c>
      <c r="J3" s="34" t="s">
        <v>49</v>
      </c>
    </row>
    <row r="4" spans="2:10" x14ac:dyDescent="0.25">
      <c r="B4" s="35" t="s">
        <v>29</v>
      </c>
      <c r="C4" s="27" t="s">
        <v>45</v>
      </c>
      <c r="D4" s="27" t="s">
        <v>32</v>
      </c>
      <c r="E4" s="27" t="s">
        <v>29</v>
      </c>
      <c r="F4" s="27" t="s">
        <v>52</v>
      </c>
      <c r="G4" s="27" t="s">
        <v>46</v>
      </c>
      <c r="H4" s="27" t="s">
        <v>29</v>
      </c>
      <c r="I4" s="27" t="s">
        <v>32</v>
      </c>
      <c r="J4" s="36" t="s">
        <v>30</v>
      </c>
    </row>
    <row r="5" spans="2:10" x14ac:dyDescent="0.25">
      <c r="B5" s="35" t="s">
        <v>30</v>
      </c>
      <c r="C5" s="27" t="s">
        <v>46</v>
      </c>
      <c r="D5" s="27" t="s">
        <v>50</v>
      </c>
      <c r="E5" s="27" t="s">
        <v>33</v>
      </c>
      <c r="F5" s="27" t="s">
        <v>53</v>
      </c>
      <c r="G5" s="27" t="s">
        <v>50</v>
      </c>
      <c r="H5" s="27" t="s">
        <v>45</v>
      </c>
      <c r="I5" s="27" t="s">
        <v>33</v>
      </c>
      <c r="J5" s="36" t="s">
        <v>29</v>
      </c>
    </row>
    <row r="6" spans="2:10" x14ac:dyDescent="0.25">
      <c r="B6" s="37" t="s">
        <v>6</v>
      </c>
      <c r="C6" s="28" t="s">
        <v>47</v>
      </c>
      <c r="D6" s="28" t="s">
        <v>7</v>
      </c>
      <c r="E6" s="28" t="s">
        <v>44</v>
      </c>
      <c r="F6" s="28" t="s">
        <v>7</v>
      </c>
      <c r="G6" s="28" t="s">
        <v>6</v>
      </c>
      <c r="H6" s="28" t="s">
        <v>7</v>
      </c>
      <c r="I6" s="28" t="s">
        <v>47</v>
      </c>
      <c r="J6" s="38" t="s">
        <v>7</v>
      </c>
    </row>
    <row r="7" spans="2:10" x14ac:dyDescent="0.25">
      <c r="B7" s="37" t="s">
        <v>44</v>
      </c>
      <c r="C7" s="28" t="s">
        <v>9</v>
      </c>
      <c r="D7" s="28" t="s">
        <v>6</v>
      </c>
      <c r="E7" s="28" t="s">
        <v>9</v>
      </c>
      <c r="F7" s="28" t="s">
        <v>47</v>
      </c>
      <c r="G7" s="28" t="s">
        <v>9</v>
      </c>
      <c r="H7" s="28" t="s">
        <v>44</v>
      </c>
      <c r="I7" s="28" t="s">
        <v>6</v>
      </c>
      <c r="J7" s="38" t="s">
        <v>44</v>
      </c>
    </row>
    <row r="8" spans="2:10" x14ac:dyDescent="0.25">
      <c r="B8" s="39" t="s">
        <v>17</v>
      </c>
      <c r="C8" s="29" t="s">
        <v>14</v>
      </c>
      <c r="D8" s="29" t="s">
        <v>19</v>
      </c>
      <c r="E8" s="29" t="s">
        <v>51</v>
      </c>
      <c r="F8" s="29" t="s">
        <v>15</v>
      </c>
      <c r="G8" s="29" t="s">
        <v>17</v>
      </c>
      <c r="H8" s="29" t="s">
        <v>48</v>
      </c>
      <c r="I8" s="29" t="s">
        <v>19</v>
      </c>
      <c r="J8" s="40" t="s">
        <v>16</v>
      </c>
    </row>
    <row r="9" spans="2:10" ht="15.75" thickBot="1" x14ac:dyDescent="0.3">
      <c r="B9" s="41" t="s">
        <v>20</v>
      </c>
      <c r="C9" s="42" t="s">
        <v>48</v>
      </c>
      <c r="D9" s="42" t="s">
        <v>22</v>
      </c>
      <c r="E9" s="42" t="s">
        <v>13</v>
      </c>
      <c r="F9" s="42" t="s">
        <v>16</v>
      </c>
      <c r="G9" s="42" t="s">
        <v>14</v>
      </c>
      <c r="H9" s="42" t="s">
        <v>13</v>
      </c>
      <c r="I9" s="42" t="s">
        <v>15</v>
      </c>
      <c r="J9" s="43" t="s">
        <v>48</v>
      </c>
    </row>
    <row r="10" spans="2:10" ht="15.75" thickBot="1" x14ac:dyDescent="0.3">
      <c r="B10" s="10"/>
      <c r="C10" s="10"/>
      <c r="D10" s="10"/>
      <c r="E10" s="10"/>
      <c r="F10" s="10"/>
      <c r="G10" s="10"/>
      <c r="H10" s="10"/>
      <c r="I10" s="10"/>
      <c r="J10" s="10"/>
    </row>
    <row r="11" spans="2:10" x14ac:dyDescent="0.25">
      <c r="B11" s="49"/>
      <c r="C11" s="44" t="s">
        <v>1</v>
      </c>
      <c r="D11" s="10"/>
      <c r="E11" s="10"/>
      <c r="F11" s="10"/>
      <c r="G11" s="10"/>
      <c r="H11" s="10"/>
      <c r="I11" s="10"/>
      <c r="J11" s="10"/>
    </row>
    <row r="12" spans="2:10" x14ac:dyDescent="0.25">
      <c r="B12" s="49"/>
      <c r="C12" s="45" t="s">
        <v>79</v>
      </c>
      <c r="D12" s="10"/>
      <c r="E12" s="10"/>
      <c r="F12" s="10"/>
      <c r="G12" s="10"/>
      <c r="H12" s="10"/>
      <c r="I12" s="10"/>
      <c r="J12" s="10"/>
    </row>
    <row r="13" spans="2:10" x14ac:dyDescent="0.25">
      <c r="B13" s="49"/>
      <c r="C13" s="46" t="s">
        <v>81</v>
      </c>
      <c r="D13" s="10"/>
      <c r="E13" s="10"/>
      <c r="F13" s="10"/>
      <c r="G13" s="10"/>
      <c r="H13" s="10"/>
      <c r="I13" s="10"/>
      <c r="J13" s="10"/>
    </row>
    <row r="14" spans="2:10" x14ac:dyDescent="0.25">
      <c r="B14" s="49"/>
      <c r="C14" s="47" t="s">
        <v>82</v>
      </c>
      <c r="D14" s="10"/>
      <c r="F14" s="10"/>
      <c r="G14" s="10"/>
      <c r="H14" s="10"/>
      <c r="I14" s="10"/>
      <c r="J14" s="10"/>
    </row>
    <row r="15" spans="2:10" ht="15.75" thickBot="1" x14ac:dyDescent="0.3">
      <c r="B15" s="49"/>
      <c r="C15" s="48" t="s">
        <v>24</v>
      </c>
      <c r="D15" s="10"/>
      <c r="F15" s="10"/>
      <c r="G15" s="10"/>
      <c r="H15" s="10"/>
      <c r="I15" s="10"/>
      <c r="J15" s="10"/>
    </row>
    <row r="16" spans="2:10" x14ac:dyDescent="0.25">
      <c r="B16" s="10"/>
      <c r="C16" s="22" t="s">
        <v>80</v>
      </c>
      <c r="D16" s="10"/>
      <c r="E16" s="10"/>
      <c r="F16" s="10"/>
      <c r="G16" s="10"/>
      <c r="H16" s="10"/>
      <c r="I16" s="10"/>
      <c r="J16" s="10"/>
    </row>
    <row r="17" spans="1:12" x14ac:dyDescent="0.25">
      <c r="B17" s="10"/>
      <c r="C17" s="10"/>
      <c r="D17" s="10"/>
      <c r="E17" s="10"/>
      <c r="F17" s="10"/>
      <c r="G17" s="10"/>
      <c r="H17" s="10"/>
      <c r="I17" s="10"/>
      <c r="J17" s="10"/>
    </row>
    <row r="18" spans="1:12" ht="15.75" thickBot="1" x14ac:dyDescent="0.3">
      <c r="B18" s="10"/>
      <c r="C18" s="10"/>
      <c r="D18" s="10"/>
      <c r="E18" s="10"/>
      <c r="F18" s="10"/>
      <c r="G18" s="10"/>
      <c r="H18" s="10"/>
      <c r="I18" s="10"/>
      <c r="J18" s="10"/>
    </row>
    <row r="19" spans="1:12" ht="21" thickBot="1" x14ac:dyDescent="0.35">
      <c r="B19" s="10"/>
      <c r="C19" s="23" t="s">
        <v>35</v>
      </c>
      <c r="D19" s="24" t="s">
        <v>36</v>
      </c>
      <c r="E19" s="24" t="s">
        <v>37</v>
      </c>
      <c r="F19" s="24" t="s">
        <v>38</v>
      </c>
      <c r="G19" s="24" t="s">
        <v>39</v>
      </c>
      <c r="H19" s="24" t="s">
        <v>40</v>
      </c>
      <c r="I19" s="24" t="s">
        <v>41</v>
      </c>
      <c r="J19" s="24" t="s">
        <v>42</v>
      </c>
      <c r="K19" s="25" t="s">
        <v>43</v>
      </c>
    </row>
    <row r="20" spans="1:12" x14ac:dyDescent="0.25">
      <c r="A20" t="s">
        <v>59</v>
      </c>
      <c r="B20" s="19" t="s">
        <v>60</v>
      </c>
      <c r="C20" s="30" t="s">
        <v>25</v>
      </c>
      <c r="D20" s="31" t="s">
        <v>26</v>
      </c>
      <c r="E20" s="31" t="s">
        <v>27</v>
      </c>
      <c r="F20" s="31" t="s">
        <v>83</v>
      </c>
      <c r="G20" s="31" t="s">
        <v>25</v>
      </c>
      <c r="H20" s="31" t="s">
        <v>27</v>
      </c>
      <c r="I20" s="31" t="s">
        <v>25</v>
      </c>
      <c r="J20" s="31" t="s">
        <v>26</v>
      </c>
      <c r="K20" s="32" t="s">
        <v>27</v>
      </c>
      <c r="L20">
        <v>2</v>
      </c>
    </row>
    <row r="21" spans="1:12" x14ac:dyDescent="0.25">
      <c r="A21" t="s">
        <v>86</v>
      </c>
      <c r="B21" s="20" t="s">
        <v>62</v>
      </c>
      <c r="C21" s="37" t="s">
        <v>6</v>
      </c>
      <c r="D21" s="28" t="s">
        <v>47</v>
      </c>
      <c r="E21" s="28" t="s">
        <v>7</v>
      </c>
      <c r="F21" s="28" t="s">
        <v>44</v>
      </c>
      <c r="G21" s="28" t="s">
        <v>7</v>
      </c>
      <c r="H21" s="28" t="s">
        <v>6</v>
      </c>
      <c r="I21" s="28" t="s">
        <v>7</v>
      </c>
      <c r="J21" s="28" t="s">
        <v>47</v>
      </c>
      <c r="K21" s="38" t="s">
        <v>7</v>
      </c>
      <c r="L21">
        <v>3</v>
      </c>
    </row>
    <row r="22" spans="1:12" x14ac:dyDescent="0.25">
      <c r="A22" t="s">
        <v>61</v>
      </c>
      <c r="B22" s="20" t="s">
        <v>64</v>
      </c>
      <c r="C22" s="33" t="s">
        <v>2</v>
      </c>
      <c r="D22" s="26" t="s">
        <v>3</v>
      </c>
      <c r="E22" s="26" t="s">
        <v>49</v>
      </c>
      <c r="F22" s="26" t="s">
        <v>4</v>
      </c>
      <c r="G22" s="26" t="s">
        <v>3</v>
      </c>
      <c r="H22" s="26" t="s">
        <v>2</v>
      </c>
      <c r="I22" s="26" t="s">
        <v>4</v>
      </c>
      <c r="J22" s="26" t="s">
        <v>3</v>
      </c>
      <c r="K22" s="34" t="s">
        <v>49</v>
      </c>
      <c r="L22">
        <v>4</v>
      </c>
    </row>
    <row r="23" spans="1:12" x14ac:dyDescent="0.25">
      <c r="A23" t="s">
        <v>61</v>
      </c>
      <c r="B23" s="20" t="s">
        <v>66</v>
      </c>
      <c r="C23" s="35" t="s">
        <v>29</v>
      </c>
      <c r="D23" s="27" t="s">
        <v>45</v>
      </c>
      <c r="E23" s="27" t="s">
        <v>32</v>
      </c>
      <c r="F23" s="27" t="s">
        <v>29</v>
      </c>
      <c r="G23" s="27" t="s">
        <v>52</v>
      </c>
      <c r="H23" s="27" t="s">
        <v>46</v>
      </c>
      <c r="I23" s="27" t="s">
        <v>29</v>
      </c>
      <c r="J23" s="27" t="s">
        <v>32</v>
      </c>
      <c r="K23" s="36" t="s">
        <v>30</v>
      </c>
      <c r="L23">
        <v>5</v>
      </c>
    </row>
    <row r="24" spans="1:12" x14ac:dyDescent="0.25">
      <c r="A24" t="s">
        <v>67</v>
      </c>
      <c r="B24" s="20" t="s">
        <v>68</v>
      </c>
      <c r="C24" s="39" t="s">
        <v>17</v>
      </c>
      <c r="D24" s="29" t="s">
        <v>14</v>
      </c>
      <c r="E24" s="29" t="s">
        <v>19</v>
      </c>
      <c r="F24" s="29" t="s">
        <v>51</v>
      </c>
      <c r="G24" s="29" t="s">
        <v>15</v>
      </c>
      <c r="H24" s="29" t="s">
        <v>17</v>
      </c>
      <c r="I24" s="29" t="s">
        <v>48</v>
      </c>
      <c r="J24" s="29" t="s">
        <v>19</v>
      </c>
      <c r="K24" s="40" t="s">
        <v>16</v>
      </c>
      <c r="L24">
        <v>6</v>
      </c>
    </row>
    <row r="25" spans="1:12" ht="15.75" thickBot="1" x14ac:dyDescent="0.3">
      <c r="A25" t="s">
        <v>67</v>
      </c>
      <c r="B25" s="20" t="s">
        <v>69</v>
      </c>
      <c r="C25" s="41" t="s">
        <v>20</v>
      </c>
      <c r="D25" s="42" t="s">
        <v>48</v>
      </c>
      <c r="E25" s="42" t="s">
        <v>22</v>
      </c>
      <c r="F25" s="42" t="s">
        <v>13</v>
      </c>
      <c r="G25" s="42" t="s">
        <v>16</v>
      </c>
      <c r="H25" s="42" t="s">
        <v>14</v>
      </c>
      <c r="I25" s="42" t="s">
        <v>13</v>
      </c>
      <c r="J25" s="42" t="s">
        <v>15</v>
      </c>
      <c r="K25" s="43" t="s">
        <v>48</v>
      </c>
      <c r="L25">
        <v>7</v>
      </c>
    </row>
    <row r="26" spans="1:12" x14ac:dyDescent="0.25">
      <c r="A26" t="s">
        <v>67</v>
      </c>
      <c r="B26" s="20" t="s">
        <v>69</v>
      </c>
      <c r="L26">
        <v>8</v>
      </c>
    </row>
    <row r="27" spans="1:12" x14ac:dyDescent="0.25">
      <c r="A27" t="s">
        <v>85</v>
      </c>
      <c r="B27" s="20" t="s">
        <v>66</v>
      </c>
      <c r="C27" s="37" t="s">
        <v>44</v>
      </c>
      <c r="D27" s="28" t="s">
        <v>9</v>
      </c>
      <c r="E27" s="28" t="s">
        <v>6</v>
      </c>
      <c r="F27" s="28" t="s">
        <v>9</v>
      </c>
      <c r="G27" s="28" t="s">
        <v>47</v>
      </c>
      <c r="H27" s="28" t="s">
        <v>9</v>
      </c>
      <c r="I27" s="28" t="s">
        <v>44</v>
      </c>
      <c r="J27" s="28" t="s">
        <v>6</v>
      </c>
      <c r="K27" s="38" t="s">
        <v>44</v>
      </c>
      <c r="L27">
        <v>9</v>
      </c>
    </row>
    <row r="28" spans="1:12" ht="15.75" thickBot="1" x14ac:dyDescent="0.3">
      <c r="A28" t="s">
        <v>72</v>
      </c>
      <c r="B28" s="21" t="s">
        <v>62</v>
      </c>
      <c r="C28" s="35" t="s">
        <v>30</v>
      </c>
      <c r="D28" s="27" t="s">
        <v>46</v>
      </c>
      <c r="E28" s="27" t="s">
        <v>50</v>
      </c>
      <c r="F28" s="27" t="s">
        <v>33</v>
      </c>
      <c r="G28" s="27" t="s">
        <v>53</v>
      </c>
      <c r="H28" s="27" t="s">
        <v>50</v>
      </c>
      <c r="I28" s="27" t="s">
        <v>45</v>
      </c>
      <c r="J28" s="27" t="s">
        <v>33</v>
      </c>
      <c r="K28" s="36" t="s">
        <v>29</v>
      </c>
      <c r="L28">
        <v>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7"/>
  <sheetViews>
    <sheetView showGridLines="0" tabSelected="1" workbookViewId="0">
      <selection activeCell="P14" sqref="P14"/>
    </sheetView>
  </sheetViews>
  <sheetFormatPr defaultRowHeight="15" x14ac:dyDescent="0.25"/>
  <cols>
    <col min="1" max="1" width="9" style="69"/>
    <col min="2" max="2" width="9.625" style="69" bestFit="1" customWidth="1"/>
    <col min="3" max="3" width="15" style="69" bestFit="1" customWidth="1"/>
    <col min="4" max="4" width="9" style="69"/>
    <col min="5" max="5" width="9.625" style="69" bestFit="1" customWidth="1"/>
    <col min="6" max="6" width="15" style="69" bestFit="1" customWidth="1"/>
    <col min="7" max="7" width="9" style="69"/>
    <col min="8" max="8" width="9.625" style="69" bestFit="1" customWidth="1"/>
    <col min="9" max="9" width="14.125" style="69" bestFit="1" customWidth="1"/>
    <col min="10" max="16384" width="9" style="69"/>
  </cols>
  <sheetData>
    <row r="1" spans="2:9" x14ac:dyDescent="0.25">
      <c r="C1" s="111" t="s">
        <v>128</v>
      </c>
      <c r="D1" s="112"/>
      <c r="E1" s="112"/>
      <c r="F1" s="112"/>
      <c r="G1" s="112"/>
      <c r="H1" s="113"/>
    </row>
    <row r="2" spans="2:9" ht="15.75" thickBot="1" x14ac:dyDescent="0.3">
      <c r="C2" s="114"/>
      <c r="D2" s="115"/>
      <c r="E2" s="115"/>
      <c r="F2" s="115"/>
      <c r="G2" s="115"/>
      <c r="H2" s="116"/>
    </row>
    <row r="3" spans="2:9" ht="15.75" thickBot="1" x14ac:dyDescent="0.3"/>
    <row r="4" spans="2:9" x14ac:dyDescent="0.25">
      <c r="B4" s="107" t="s">
        <v>112</v>
      </c>
      <c r="C4" s="108">
        <v>43475</v>
      </c>
      <c r="E4" s="107" t="s">
        <v>120</v>
      </c>
      <c r="F4" s="108">
        <f>C34+7</f>
        <v>43517</v>
      </c>
      <c r="H4" s="107" t="s">
        <v>126</v>
      </c>
      <c r="I4" s="108">
        <f>F34+7</f>
        <v>43559</v>
      </c>
    </row>
    <row r="5" spans="2:9" x14ac:dyDescent="0.25">
      <c r="B5" s="105" t="s">
        <v>113</v>
      </c>
      <c r="C5" s="109"/>
      <c r="E5" s="105" t="s">
        <v>113</v>
      </c>
      <c r="F5" s="109"/>
      <c r="H5" s="105" t="s">
        <v>113</v>
      </c>
      <c r="I5" s="109"/>
    </row>
    <row r="6" spans="2:9" x14ac:dyDescent="0.25">
      <c r="B6" s="105" t="s">
        <v>114</v>
      </c>
      <c r="C6" s="109"/>
      <c r="E6" s="105" t="s">
        <v>114</v>
      </c>
      <c r="F6" s="109"/>
      <c r="H6" s="105" t="s">
        <v>114</v>
      </c>
      <c r="I6" s="109"/>
    </row>
    <row r="7" spans="2:9" ht="15.75" thickBot="1" x14ac:dyDescent="0.3">
      <c r="B7" s="106" t="s">
        <v>115</v>
      </c>
      <c r="C7" s="110"/>
      <c r="E7" s="106" t="s">
        <v>115</v>
      </c>
      <c r="F7" s="110"/>
      <c r="H7" s="106" t="s">
        <v>115</v>
      </c>
      <c r="I7" s="110"/>
    </row>
    <row r="9" spans="2:9" ht="15.75" thickBot="1" x14ac:dyDescent="0.3"/>
    <row r="10" spans="2:9" x14ac:dyDescent="0.25">
      <c r="B10" s="107" t="s">
        <v>116</v>
      </c>
      <c r="C10" s="108">
        <f>C4+7</f>
        <v>43482</v>
      </c>
      <c r="E10" s="107" t="s">
        <v>121</v>
      </c>
      <c r="F10" s="108">
        <f>F4+7</f>
        <v>43524</v>
      </c>
      <c r="H10" s="107" t="s">
        <v>127</v>
      </c>
      <c r="I10" s="108">
        <f>I4+7</f>
        <v>43566</v>
      </c>
    </row>
    <row r="11" spans="2:9" x14ac:dyDescent="0.25">
      <c r="B11" s="105" t="s">
        <v>113</v>
      </c>
      <c r="C11" s="109"/>
      <c r="E11" s="105" t="s">
        <v>113</v>
      </c>
      <c r="F11" s="109"/>
      <c r="H11" s="105" t="s">
        <v>113</v>
      </c>
      <c r="I11" s="109"/>
    </row>
    <row r="12" spans="2:9" x14ac:dyDescent="0.25">
      <c r="B12" s="105" t="s">
        <v>114</v>
      </c>
      <c r="C12" s="109"/>
      <c r="E12" s="105" t="s">
        <v>114</v>
      </c>
      <c r="F12" s="109"/>
      <c r="H12" s="105" t="s">
        <v>114</v>
      </c>
      <c r="I12" s="109"/>
    </row>
    <row r="13" spans="2:9" ht="15.75" thickBot="1" x14ac:dyDescent="0.3">
      <c r="B13" s="106" t="s">
        <v>115</v>
      </c>
      <c r="C13" s="110"/>
      <c r="E13" s="106" t="s">
        <v>115</v>
      </c>
      <c r="F13" s="110"/>
      <c r="H13" s="106" t="s">
        <v>115</v>
      </c>
      <c r="I13" s="110"/>
    </row>
    <row r="15" spans="2:9" ht="15.75" thickBot="1" x14ac:dyDescent="0.3"/>
    <row r="16" spans="2:9" x14ac:dyDescent="0.25">
      <c r="B16" s="107" t="s">
        <v>117</v>
      </c>
      <c r="C16" s="108">
        <f>C10+7</f>
        <v>43489</v>
      </c>
      <c r="E16" s="107" t="s">
        <v>122</v>
      </c>
      <c r="F16" s="108">
        <f>F10+7</f>
        <v>43531</v>
      </c>
    </row>
    <row r="17" spans="2:6" x14ac:dyDescent="0.25">
      <c r="B17" s="105" t="s">
        <v>113</v>
      </c>
      <c r="C17" s="109"/>
      <c r="E17" s="105" t="s">
        <v>113</v>
      </c>
      <c r="F17" s="109"/>
    </row>
    <row r="18" spans="2:6" x14ac:dyDescent="0.25">
      <c r="B18" s="105" t="s">
        <v>114</v>
      </c>
      <c r="C18" s="109"/>
      <c r="E18" s="105" t="s">
        <v>114</v>
      </c>
      <c r="F18" s="109"/>
    </row>
    <row r="19" spans="2:6" ht="15.75" thickBot="1" x14ac:dyDescent="0.3">
      <c r="B19" s="106" t="s">
        <v>115</v>
      </c>
      <c r="C19" s="110"/>
      <c r="E19" s="106" t="s">
        <v>115</v>
      </c>
      <c r="F19" s="110"/>
    </row>
    <row r="21" spans="2:6" ht="15.75" thickBot="1" x14ac:dyDescent="0.3"/>
    <row r="22" spans="2:6" x14ac:dyDescent="0.25">
      <c r="B22" s="107" t="s">
        <v>118</v>
      </c>
      <c r="C22" s="108">
        <f>C16+7</f>
        <v>43496</v>
      </c>
      <c r="E22" s="107" t="s">
        <v>123</v>
      </c>
      <c r="F22" s="108">
        <f>F16+7</f>
        <v>43538</v>
      </c>
    </row>
    <row r="23" spans="2:6" x14ac:dyDescent="0.25">
      <c r="B23" s="105" t="s">
        <v>113</v>
      </c>
      <c r="C23" s="109"/>
      <c r="E23" s="105" t="s">
        <v>113</v>
      </c>
      <c r="F23" s="109"/>
    </row>
    <row r="24" spans="2:6" x14ac:dyDescent="0.25">
      <c r="B24" s="105" t="s">
        <v>114</v>
      </c>
      <c r="C24" s="109"/>
      <c r="E24" s="105" t="s">
        <v>114</v>
      </c>
      <c r="F24" s="109"/>
    </row>
    <row r="25" spans="2:6" ht="15.75" thickBot="1" x14ac:dyDescent="0.3">
      <c r="B25" s="106" t="s">
        <v>115</v>
      </c>
      <c r="C25" s="110"/>
      <c r="E25" s="106" t="s">
        <v>115</v>
      </c>
      <c r="F25" s="110"/>
    </row>
    <row r="27" spans="2:6" ht="15.75" thickBot="1" x14ac:dyDescent="0.3"/>
    <row r="28" spans="2:6" x14ac:dyDescent="0.25">
      <c r="B28" s="107" t="s">
        <v>84</v>
      </c>
      <c r="C28" s="108">
        <f>C22+7</f>
        <v>43503</v>
      </c>
      <c r="E28" s="107" t="s">
        <v>124</v>
      </c>
      <c r="F28" s="108">
        <f>F22+7</f>
        <v>43545</v>
      </c>
    </row>
    <row r="29" spans="2:6" x14ac:dyDescent="0.25">
      <c r="B29" s="105" t="s">
        <v>113</v>
      </c>
      <c r="C29" s="109"/>
      <c r="E29" s="105" t="s">
        <v>113</v>
      </c>
      <c r="F29" s="109"/>
    </row>
    <row r="30" spans="2:6" x14ac:dyDescent="0.25">
      <c r="B30" s="105" t="s">
        <v>114</v>
      </c>
      <c r="C30" s="109"/>
      <c r="E30" s="105" t="s">
        <v>114</v>
      </c>
      <c r="F30" s="109"/>
    </row>
    <row r="31" spans="2:6" ht="15.75" thickBot="1" x14ac:dyDescent="0.3">
      <c r="B31" s="106" t="s">
        <v>115</v>
      </c>
      <c r="C31" s="110"/>
      <c r="E31" s="106" t="s">
        <v>115</v>
      </c>
      <c r="F31" s="110"/>
    </row>
    <row r="33" spans="2:6" ht="15.75" thickBot="1" x14ac:dyDescent="0.3"/>
    <row r="34" spans="2:6" x14ac:dyDescent="0.25">
      <c r="B34" s="107" t="s">
        <v>119</v>
      </c>
      <c r="C34" s="108">
        <f>C28+7</f>
        <v>43510</v>
      </c>
      <c r="E34" s="107" t="s">
        <v>125</v>
      </c>
      <c r="F34" s="108">
        <f>F28+7</f>
        <v>43552</v>
      </c>
    </row>
    <row r="35" spans="2:6" x14ac:dyDescent="0.25">
      <c r="B35" s="105" t="s">
        <v>113</v>
      </c>
      <c r="C35" s="109"/>
      <c r="E35" s="105" t="s">
        <v>113</v>
      </c>
      <c r="F35" s="109"/>
    </row>
    <row r="36" spans="2:6" x14ac:dyDescent="0.25">
      <c r="B36" s="105" t="s">
        <v>114</v>
      </c>
      <c r="C36" s="109"/>
      <c r="E36" s="105" t="s">
        <v>114</v>
      </c>
      <c r="F36" s="109"/>
    </row>
    <row r="37" spans="2:6" ht="15.75" thickBot="1" x14ac:dyDescent="0.3">
      <c r="B37" s="106" t="s">
        <v>115</v>
      </c>
      <c r="C37" s="110"/>
      <c r="E37" s="106" t="s">
        <v>115</v>
      </c>
      <c r="F37" s="110"/>
    </row>
  </sheetData>
  <mergeCells count="1">
    <mergeCell ref="C1:H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8"/>
  <sheetViews>
    <sheetView showGridLines="0" workbookViewId="0">
      <selection activeCell="B20" sqref="B20"/>
    </sheetView>
  </sheetViews>
  <sheetFormatPr defaultRowHeight="15" x14ac:dyDescent="0.25"/>
  <cols>
    <col min="2" max="2" width="12.75" bestFit="1" customWidth="1"/>
    <col min="3" max="3" width="13.75" bestFit="1" customWidth="1"/>
    <col min="4" max="4" width="24.875" bestFit="1" customWidth="1"/>
    <col min="8" max="8" width="12.75" bestFit="1" customWidth="1"/>
    <col min="9" max="9" width="13.75" bestFit="1" customWidth="1"/>
    <col min="10" max="10" width="24.875" bestFit="1" customWidth="1"/>
  </cols>
  <sheetData>
    <row r="2" spans="2:10" ht="15.75" thickBot="1" x14ac:dyDescent="0.3"/>
    <row r="3" spans="2:10" ht="21.75" thickBot="1" x14ac:dyDescent="0.4">
      <c r="B3" s="102" t="s">
        <v>110</v>
      </c>
      <c r="C3" s="103"/>
      <c r="D3" s="104"/>
      <c r="H3" s="102" t="s">
        <v>111</v>
      </c>
      <c r="I3" s="103"/>
      <c r="J3" s="104"/>
    </row>
    <row r="4" spans="2:10" ht="15.75" thickBot="1" x14ac:dyDescent="0.3"/>
    <row r="5" spans="2:10" ht="15.75" thickBot="1" x14ac:dyDescent="0.3">
      <c r="B5" s="87" t="s">
        <v>105</v>
      </c>
      <c r="C5" s="88"/>
      <c r="D5" s="89"/>
      <c r="H5" s="90" t="s">
        <v>105</v>
      </c>
      <c r="I5" s="91"/>
      <c r="J5" s="92"/>
    </row>
    <row r="6" spans="2:10" x14ac:dyDescent="0.25">
      <c r="B6" s="93" t="s">
        <v>102</v>
      </c>
      <c r="C6" s="94" t="s">
        <v>103</v>
      </c>
      <c r="D6" s="95" t="s">
        <v>104</v>
      </c>
      <c r="H6" s="93" t="s">
        <v>102</v>
      </c>
      <c r="I6" s="94" t="s">
        <v>103</v>
      </c>
      <c r="J6" s="95" t="s">
        <v>104</v>
      </c>
    </row>
    <row r="7" spans="2:10" ht="15.75" thickBot="1" x14ac:dyDescent="0.3">
      <c r="B7" s="84"/>
      <c r="C7" s="9"/>
      <c r="D7" s="86"/>
      <c r="H7" s="84"/>
      <c r="I7" s="9"/>
      <c r="J7" s="85"/>
    </row>
    <row r="8" spans="2:10" ht="15.75" thickBot="1" x14ac:dyDescent="0.3">
      <c r="B8" s="87" t="s">
        <v>106</v>
      </c>
      <c r="C8" s="88"/>
      <c r="D8" s="89"/>
      <c r="H8" s="90" t="s">
        <v>106</v>
      </c>
      <c r="I8" s="91"/>
      <c r="J8" s="92"/>
    </row>
    <row r="9" spans="2:10" x14ac:dyDescent="0.25">
      <c r="B9" s="93" t="s">
        <v>102</v>
      </c>
      <c r="C9" s="94" t="s">
        <v>103</v>
      </c>
      <c r="D9" s="95" t="s">
        <v>104</v>
      </c>
      <c r="H9" s="93" t="s">
        <v>102</v>
      </c>
      <c r="I9" s="94" t="s">
        <v>103</v>
      </c>
      <c r="J9" s="95" t="s">
        <v>104</v>
      </c>
    </row>
    <row r="10" spans="2:10" ht="15.75" thickBot="1" x14ac:dyDescent="0.3">
      <c r="B10" s="81"/>
      <c r="C10" s="82"/>
      <c r="D10" s="83"/>
      <c r="H10" s="81"/>
      <c r="I10" s="82"/>
      <c r="J10" s="83"/>
    </row>
    <row r="13" spans="2:10" ht="15.75" thickBot="1" x14ac:dyDescent="0.3"/>
    <row r="14" spans="2:10" x14ac:dyDescent="0.25">
      <c r="H14" s="97" t="s">
        <v>107</v>
      </c>
      <c r="I14" s="98"/>
      <c r="J14" s="99"/>
    </row>
    <row r="15" spans="2:10" x14ac:dyDescent="0.25">
      <c r="H15" s="100" t="s">
        <v>108</v>
      </c>
      <c r="I15" s="96" t="s">
        <v>87</v>
      </c>
      <c r="J15" s="101" t="s">
        <v>109</v>
      </c>
    </row>
    <row r="16" spans="2:10" x14ac:dyDescent="0.25">
      <c r="H16" s="79">
        <v>1</v>
      </c>
      <c r="I16" s="2"/>
      <c r="J16" s="80"/>
    </row>
    <row r="17" spans="8:10" x14ac:dyDescent="0.25">
      <c r="H17" s="79">
        <v>2</v>
      </c>
      <c r="I17" s="2"/>
      <c r="J17" s="80"/>
    </row>
    <row r="18" spans="8:10" ht="15.75" thickBot="1" x14ac:dyDescent="0.3">
      <c r="H18" s="81">
        <v>3</v>
      </c>
      <c r="I18" s="82"/>
      <c r="J18" s="83"/>
    </row>
  </sheetData>
  <mergeCells count="7">
    <mergeCell ref="B5:D5"/>
    <mergeCell ref="B8:D8"/>
    <mergeCell ref="H5:J5"/>
    <mergeCell ref="H8:J8"/>
    <mergeCell ref="H14:J14"/>
    <mergeCell ref="B3:D3"/>
    <mergeCell ref="H3:J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Dashboard</vt:lpstr>
      <vt:lpstr>Comp 1</vt:lpstr>
      <vt:lpstr>Comp 2</vt:lpstr>
      <vt:lpstr>Comp 3</vt:lpstr>
      <vt:lpstr>Comp 4</vt:lpstr>
      <vt:lpstr>Comp 5</vt:lpstr>
      <vt:lpstr>Comp 6</vt:lpstr>
      <vt:lpstr>Comp 7</vt:lpstr>
      <vt:lpstr>Comp 8</vt:lpstr>
      <vt:lpstr>Overview</vt:lpstr>
      <vt:lpstr>Workshop Descriptions</vt:lpstr>
      <vt:lpstr>List by Week</vt:lpstr>
      <vt:lpstr>Workshops</vt:lpstr>
      <vt:lpstr>DLT</vt:lpstr>
      <vt:lpstr>Presentation 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Miguel, Brandie</dc:creator>
  <cp:lastModifiedBy>Calhoun, Caleb</cp:lastModifiedBy>
  <cp:lastPrinted>2018-11-19T22:59:39Z</cp:lastPrinted>
  <dcterms:created xsi:type="dcterms:W3CDTF">2018-11-01T20:47:08Z</dcterms:created>
  <dcterms:modified xsi:type="dcterms:W3CDTF">2018-12-05T22:38:20Z</dcterms:modified>
</cp:coreProperties>
</file>